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Nitro V\Documents\DIO\"/>
    </mc:Choice>
  </mc:AlternateContent>
  <xr:revisionPtr revIDLastSave="0" documentId="13_ncr:1_{33CFD950-2697-421C-A118-9E9167C435A0}" xr6:coauthVersionLast="47" xr6:coauthVersionMax="47" xr10:uidLastSave="{00000000-0000-0000-0000-000000000000}"/>
  <bookViews>
    <workbookView xWindow="-108" yWindow="-108" windowWidth="23256" windowHeight="12456" tabRatio="0" xr2:uid="{489D024C-2E18-43BC-B1FB-B3FAD0334B19}"/>
  </bookViews>
  <sheets>
    <sheet name="TITULAR" sheetId="1" r:id="rId1"/>
    <sheet name="INFORMES" sheetId="2" r:id="rId2"/>
    <sheet name="ENTRADAS" sheetId="3" r:id="rId3"/>
    <sheet name="DEDUÇÕES" sheetId="5" r:id="rId4"/>
    <sheet name="RESUMO FINAL" sheetId="6" r:id="rId5"/>
    <sheet name="AUXILIAR" sheetId="4" state="hidden" r:id="rId6"/>
  </sheets>
  <definedNames>
    <definedName name="_xlnm._FilterDatabase" localSheetId="5" hidden="1">AUXILIAR!$A$1:$A$51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5" l="1"/>
  <c r="D13" i="6" s="1"/>
  <c r="E7" i="3"/>
  <c r="D12" i="6" s="1"/>
  <c r="E6" i="3"/>
  <c r="D11" i="6" s="1"/>
  <c r="D6" i="2"/>
  <c r="D14" i="6" s="1"/>
</calcChain>
</file>

<file path=xl/sharedStrings.xml><?xml version="1.0" encoding="utf-8"?>
<sst xmlns="http://schemas.openxmlformats.org/spreadsheetml/2006/main" count="167" uniqueCount="144">
  <si>
    <t>NOME</t>
  </si>
  <si>
    <t>CPF</t>
  </si>
  <si>
    <t>NASCIMENTO</t>
  </si>
  <si>
    <t>TÍTULO DE ELEITOR</t>
  </si>
  <si>
    <t>CÔNJUGE</t>
  </si>
  <si>
    <t>CEP</t>
  </si>
  <si>
    <t>TELEFONE</t>
  </si>
  <si>
    <t>CELULAR</t>
  </si>
  <si>
    <t>EMAIL</t>
  </si>
  <si>
    <t>DEPENDENTE CÔNJUGE</t>
  </si>
  <si>
    <t>RESIDENTE DO EXTERIOR</t>
  </si>
  <si>
    <t>ENDEREÇO</t>
  </si>
  <si>
    <t>ALTERAÇÕES DA ENTREGA ANTERIOR</t>
  </si>
  <si>
    <t>1.0 DADOS TITULAR</t>
  </si>
  <si>
    <t>FULANO ETC E TAL</t>
  </si>
  <si>
    <t>FULANA ETC E TAL</t>
  </si>
  <si>
    <t>RUA DO CENTRO, 0012, ESTADO</t>
  </si>
  <si>
    <t>FULANO@GMAIL.COM</t>
  </si>
  <si>
    <t>SIM</t>
  </si>
  <si>
    <t>NÃO</t>
  </si>
  <si>
    <t>2.0 INFORMES DE RENDIMENTO BANCÁRIO</t>
  </si>
  <si>
    <t>BANCO</t>
  </si>
  <si>
    <t>VALOR</t>
  </si>
  <si>
    <t>VALOR ATUAL</t>
  </si>
  <si>
    <t>ANEXO 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</si>
  <si>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</si>
  <si>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</si>
  <si>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</si>
  <si>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</si>
  <si>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</si>
  <si>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</si>
  <si>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</si>
  <si>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</si>
  <si>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</si>
  <si>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</si>
  <si>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</si>
  <si>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</si>
  <si>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</si>
  <si>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</si>
  <si>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</si>
  <si>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</si>
  <si>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</si>
  <si>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</si>
  <si>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</si>
  <si>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</si>
  <si>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</si>
  <si>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</si>
  <si>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</si>
  <si>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</si>
  <si>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</si>
  <si>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</si>
  <si>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</si>
  <si>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</si>
  <si>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</si>
  <si>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</si>
  <si>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</si>
  <si>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</si>
  <si>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</si>
  <si>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</si>
  <si>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</si>
  <si>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</si>
  <si>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</si>
  <si>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</si>
  <si>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</si>
  <si>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</si>
  <si>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</si>
  <si>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</si>
  <si>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</si>
  <si>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</si>
  <si>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</si>
  <si>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</si>
  <si>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</si>
  <si>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</si>
  <si>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</si>
  <si>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</si>
  <si>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</si>
  <si>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</si>
  <si>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</si>
  <si>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</si>
  <si>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banco_pará.pdf</t>
  </si>
  <si>
    <t>c6_bank.pdf</t>
  </si>
  <si>
    <t>picpay.pdf</t>
  </si>
  <si>
    <t>TOTAL</t>
  </si>
  <si>
    <t>ENTRADAS</t>
  </si>
  <si>
    <t>DATA</t>
  </si>
  <si>
    <t>CATEGORIA</t>
  </si>
  <si>
    <t>NATUREZA DA OCUPÇÃO</t>
  </si>
  <si>
    <t>OCUPAÇÃO PRINCIPAL</t>
  </si>
  <si>
    <t>BANCO PARA RESTITUIÇÃO</t>
  </si>
  <si>
    <t>AGÊNCIA / CONTA COM DIGITO</t>
  </si>
  <si>
    <t>NATUREZA DA OCUPAÇÃO</t>
  </si>
  <si>
    <t>01 – Empregado de empresa privada</t>
  </si>
  <si>
    <t>02 – Empregado de instituição financeira</t>
  </si>
  <si>
    <t>3 – Empregado de empresa pública ou economia mista</t>
  </si>
  <si>
    <t>11 – Servidor público da administração direta federal</t>
  </si>
  <si>
    <t>12 – Servidor público da administração direta estadual ou distrital</t>
  </si>
  <si>
    <t>3 – Servidor público da administração direta municipal</t>
  </si>
  <si>
    <t>21 – Militar</t>
  </si>
  <si>
    <t>31 – Proprietário de empresa ou de firma individual</t>
  </si>
  <si>
    <t>41 – Trabalhador autônomo (sem vínculo empregatício)</t>
  </si>
  <si>
    <t>51 – Profissional liberal (com nível universitário ou técnico)</t>
  </si>
  <si>
    <t>61 – Aposentado, militar da reserva ou reformado e pensionista</t>
  </si>
  <si>
    <t>71 – Espólio</t>
  </si>
  <si>
    <t>81 – Natureza não especificada anteriormente</t>
  </si>
  <si>
    <t>CHAVE PIX (CPF)</t>
  </si>
  <si>
    <t>Analista de dados sr</t>
  </si>
  <si>
    <t>Pró-labore</t>
  </si>
  <si>
    <t>Aluguel</t>
  </si>
  <si>
    <t>Outros</t>
  </si>
  <si>
    <t>Salário</t>
  </si>
  <si>
    <t>Tributáveis</t>
  </si>
  <si>
    <t>Isentos</t>
  </si>
  <si>
    <t>CATEGORIA ENTRADAS</t>
  </si>
  <si>
    <t>CATEGORIA DEDUÇÕES</t>
  </si>
  <si>
    <t>Saúde</t>
  </si>
  <si>
    <t>Educação</t>
  </si>
  <si>
    <t>Previdência privada PGBL</t>
  </si>
  <si>
    <t>Pensão alimentícia</t>
  </si>
  <si>
    <t>3.0 REGISTRO DE ENTRADAS DE RECEITA</t>
  </si>
  <si>
    <t>4.0 DEDUÇÕES LEGAIS</t>
  </si>
  <si>
    <t>Registre os itens de dedução legal</t>
  </si>
  <si>
    <t>BENEFICIÁRIO</t>
  </si>
  <si>
    <t>CPF/CNPJ</t>
  </si>
  <si>
    <t>Fulaninho etc e tal</t>
  </si>
  <si>
    <t>DESCRIÇÃO</t>
  </si>
  <si>
    <t>VALOR TOTAL</t>
  </si>
  <si>
    <t>ONDE DECLARAR NO IRPF</t>
  </si>
  <si>
    <t>Rendimentos Tributáveis</t>
  </si>
  <si>
    <t>Rendimentos Isentos</t>
  </si>
  <si>
    <t>Total de Deduções</t>
  </si>
  <si>
    <t>Bens e Direitos</t>
  </si>
  <si>
    <t>Aba: Rend. Trib. Recebidos de PJ</t>
  </si>
  <si>
    <t>Aba: Rend. Isentos e Não Tributáveis</t>
  </si>
  <si>
    <t>Aba: Pagamentos Efetuados</t>
  </si>
  <si>
    <t>Aba: Bens e Direitos</t>
  </si>
  <si>
    <t>JCP</t>
  </si>
  <si>
    <t>Dividendos</t>
  </si>
  <si>
    <t>Deduções Totais</t>
  </si>
  <si>
    <t>1234/123456-2</t>
  </si>
  <si>
    <t>5.0 RESUMO FINAL</t>
  </si>
  <si>
    <t>Veja um resumo da sua declaração</t>
  </si>
  <si>
    <t>Registre os dados da pessoa fisica titular</t>
  </si>
  <si>
    <t>Registre os dados de informes bancários</t>
  </si>
  <si>
    <t>Registre os valores de receita mês 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</si>
</sst>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\-000"/>
    <numFmt numFmtId="165" formatCode="000&quot;.&quot;000&quot;.&quot;000&quot;-&quot;00"/>
    <numFmt numFmtId="166" formatCode="&quot;(&quot;00&quot;) &quot;00000&quot;-&quot;0000"/>
    <numFmt numFmtId="167" formatCode="&quot;(&quot;00&quot;) &quot;0000&quot;-&quot;0000"/>
    <numFmt numFmtId="168" formatCode="&quot;R$&quot;\ #,##0.00"/>
    <numFmt numFmtId="169" formatCode="mmmm/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A0A0A"/>
      <name val="Aptos Narrow"/>
      <family val="2"/>
    </font>
    <font>
      <sz val="11"/>
      <name val="Aptos Narrow"/>
      <family val="2"/>
      <scheme val="minor"/>
    </font>
    <font>
      <b/>
      <sz val="11"/>
      <color theme="0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2499465926084170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1" xfId="1"/>
    <xf numFmtId="0" fontId="1" fillId="3" borderId="0" xfId="2"/>
    <xf numFmtId="0" fontId="6" fillId="0" borderId="1" xfId="1" applyFont="1"/>
    <xf numFmtId="0" fontId="4" fillId="3" borderId="0" xfId="2" applyFont="1" applyAlignment="1">
      <alignment horizontal="left" vertical="center"/>
    </xf>
    <xf numFmtId="0" fontId="0" fillId="0" borderId="0" xfId="0"/>
    <xf numFmtId="0" fontId="8" fillId="5" borderId="0" xfId="0" applyFont="1" applyFill="1" applyAlignment="1">
      <alignment horizontal="center"/>
    </xf>
    <xf numFmtId="0" fontId="7" fillId="0" borderId="2" xfId="0" applyFont="1" applyFill="1" applyBorder="1" applyAlignment="1">
      <alignment horizontal="right"/>
    </xf>
    <xf numFmtId="0" fontId="10" fillId="0" borderId="0" xfId="0" applyFont="1"/>
    <xf numFmtId="0" fontId="7" fillId="4" borderId="0" xfId="0" applyFont="1" applyFill="1"/>
    <xf numFmtId="168" fontId="0" fillId="4" borderId="0" xfId="0" applyNumberFormat="1" applyFill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left"/>
    </xf>
    <xf numFmtId="0" fontId="7" fillId="0" borderId="6" xfId="0" applyFont="1" applyFill="1" applyBorder="1" applyAlignment="1">
      <alignment horizontal="right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12" fillId="0" borderId="0" xfId="0" applyFont="1" applyAlignment="1">
      <alignment vertical="center" wrapText="1"/>
    </xf>
    <xf numFmtId="0" fontId="12" fillId="0" borderId="0" xfId="0" applyFont="1" applyAlignment="1"/>
    <xf numFmtId="0" fontId="0" fillId="0" borderId="0" xfId="0" applyNumberFormat="1" applyAlignment="1">
      <alignment horizontal="center" vertical="center"/>
    </xf>
    <xf numFmtId="0" fontId="0" fillId="0" borderId="0" xfId="0" applyProtection="1"/>
    <xf numFmtId="0" fontId="0" fillId="0" borderId="0" xfId="0" applyBorder="1" applyAlignment="1" applyProtection="1">
      <alignment horizontal="center"/>
    </xf>
    <xf numFmtId="0" fontId="4" fillId="0" borderId="0" xfId="2" applyFont="1" applyFill="1" applyAlignment="1">
      <alignment horizontal="left" vertical="center"/>
    </xf>
    <xf numFmtId="0" fontId="1" fillId="0" borderId="0" xfId="2" applyFill="1"/>
    <xf numFmtId="0" fontId="7" fillId="7" borderId="0" xfId="0" applyFont="1" applyFill="1" applyAlignment="1">
      <alignment horizontal="right"/>
    </xf>
    <xf numFmtId="168" fontId="11" fillId="7" borderId="0" xfId="0" applyNumberFormat="1" applyFont="1" applyFill="1" applyAlignment="1">
      <alignment horizontal="left"/>
    </xf>
    <xf numFmtId="0" fontId="0" fillId="0" borderId="2" xfId="0" applyBorder="1" applyAlignment="1" applyProtection="1">
      <alignment horizontal="center" vertical="center"/>
    </xf>
    <xf numFmtId="0" fontId="0" fillId="0" borderId="8" xfId="0" applyBorder="1" applyAlignment="1" applyProtection="1">
      <alignment horizontal="left" vertical="center"/>
    </xf>
    <xf numFmtId="168" fontId="0" fillId="0" borderId="8" xfId="0" applyNumberFormat="1" applyBorder="1" applyAlignment="1" applyProtection="1">
      <alignment horizontal="left" vertical="center"/>
    </xf>
    <xf numFmtId="0" fontId="0" fillId="0" borderId="8" xfId="0" applyBorder="1" applyAlignment="1" applyProtection="1">
      <alignment vertical="center"/>
    </xf>
    <xf numFmtId="0" fontId="0" fillId="0" borderId="2" xfId="0" applyBorder="1" applyAlignment="1" applyProtection="1">
      <alignment horizontal="left" vertical="center"/>
    </xf>
    <xf numFmtId="168" fontId="0" fillId="0" borderId="2" xfId="0" applyNumberFormat="1" applyBorder="1" applyAlignment="1" applyProtection="1">
      <alignment horizontal="left" vertical="center"/>
    </xf>
    <xf numFmtId="0" fontId="0" fillId="0" borderId="2" xfId="0" applyBorder="1" applyAlignment="1" applyProtection="1">
      <alignment vertical="center"/>
    </xf>
    <xf numFmtId="0" fontId="14" fillId="6" borderId="3" xfId="0" applyFont="1" applyFill="1" applyBorder="1" applyAlignment="1">
      <alignment horizontal="center"/>
    </xf>
    <xf numFmtId="0" fontId="14" fillId="6" borderId="4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49" fontId="0" fillId="4" borderId="6" xfId="0" applyNumberFormat="1" applyFill="1" applyBorder="1" applyAlignment="1" applyProtection="1">
      <alignment horizontal="left"/>
      <protection locked="0"/>
    </xf>
    <xf numFmtId="165" fontId="0" fillId="4" borderId="6" xfId="0" applyNumberFormat="1" applyFill="1" applyBorder="1" applyAlignment="1" applyProtection="1">
      <alignment horizontal="left"/>
      <protection locked="0"/>
    </xf>
    <xf numFmtId="14" fontId="0" fillId="4" borderId="6" xfId="0" applyNumberFormat="1" applyFill="1" applyBorder="1" applyAlignment="1" applyProtection="1">
      <alignment horizontal="left"/>
      <protection locked="0"/>
    </xf>
    <xf numFmtId="0" fontId="0" fillId="4" borderId="6" xfId="0" applyFill="1" applyBorder="1" applyAlignment="1" applyProtection="1">
      <alignment horizontal="left"/>
      <protection locked="0"/>
    </xf>
    <xf numFmtId="164" fontId="0" fillId="4" borderId="6" xfId="0" applyNumberFormat="1" applyFill="1" applyBorder="1" applyAlignment="1" applyProtection="1">
      <alignment horizontal="left"/>
      <protection locked="0"/>
    </xf>
    <xf numFmtId="167" fontId="0" fillId="4" borderId="6" xfId="0" applyNumberFormat="1" applyFill="1" applyBorder="1" applyAlignment="1" applyProtection="1">
      <alignment horizontal="left"/>
      <protection locked="0"/>
    </xf>
    <xf numFmtId="166" fontId="0" fillId="4" borderId="6" xfId="0" applyNumberFormat="1" applyFill="1" applyBorder="1" applyAlignment="1" applyProtection="1">
      <alignment horizontal="left"/>
      <protection locked="0"/>
    </xf>
    <xf numFmtId="0" fontId="5" fillId="4" borderId="6" xfId="3" applyFill="1" applyBorder="1" applyAlignment="1" applyProtection="1">
      <alignment horizontal="left"/>
      <protection locked="0"/>
    </xf>
    <xf numFmtId="0" fontId="0" fillId="4" borderId="6" xfId="0" applyFill="1" applyBorder="1" applyProtection="1">
      <protection locked="0"/>
    </xf>
    <xf numFmtId="49" fontId="9" fillId="4" borderId="2" xfId="0" applyNumberFormat="1" applyFont="1" applyFill="1" applyBorder="1" applyAlignment="1" applyProtection="1">
      <alignment horizontal="left"/>
      <protection locked="0"/>
    </xf>
    <xf numFmtId="168" fontId="0" fillId="4" borderId="2" xfId="0" applyNumberFormat="1" applyFill="1" applyBorder="1" applyAlignment="1" applyProtection="1">
      <alignment horizontal="left"/>
      <protection locked="0"/>
    </xf>
    <xf numFmtId="49" fontId="0" fillId="4" borderId="2" xfId="0" applyNumberFormat="1" applyFill="1" applyBorder="1" applyAlignment="1" applyProtection="1">
      <alignment horizontal="left"/>
      <protection locked="0"/>
    </xf>
    <xf numFmtId="16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165" fontId="13" fillId="0" borderId="0" xfId="0" applyNumberFormat="1" applyFont="1" applyFill="1" applyBorder="1" applyAlignment="1" applyProtection="1">
      <alignment horizontal="left"/>
      <protection locked="0"/>
    </xf>
    <xf numFmtId="165" fontId="13" fillId="0" borderId="0" xfId="0" applyNumberFormat="1" applyFont="1" applyFill="1" applyAlignment="1" applyProtection="1">
      <alignment horizontal="left"/>
      <protection locked="0"/>
    </xf>
  </cellXfs>
  <cellStyles count="4">
    <cellStyle name="20% - Ênfase6" xfId="2" builtinId="50"/>
    <cellStyle name="Hiperlink" xfId="3" builtinId="8"/>
    <cellStyle name="Normal" xfId="0" builtinId="0"/>
    <cellStyle name="Título 2" xfId="1" builtinId="17"/>
  </cellStyles>
  <dxfs count="12">
    <dxf>
      <alignment horizontal="center" vertical="center" textRotation="0" wrapText="0" indent="0" justifyLastLine="0" shrinkToFit="0" readingOrder="0"/>
      <protection locked="0" hidden="0"/>
    </dxf>
    <dxf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000&quot;.&quot;000&quot;.&quot;000&quot;-&quot;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9" formatCode="mmmm/yyyy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9" formatCode="mmmm/yyyy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ENTRADAS!D3"/><Relationship Id="rId2" Type="http://schemas.openxmlformats.org/officeDocument/2006/relationships/hyperlink" Target="#INFORMES!D3"/><Relationship Id="rId1" Type="http://schemas.openxmlformats.org/officeDocument/2006/relationships/image" Target="../media/image1.png"/><Relationship Id="rId5" Type="http://schemas.openxmlformats.org/officeDocument/2006/relationships/hyperlink" Target="#'RESUMO FINAL'!D3"/><Relationship Id="rId4" Type="http://schemas.openxmlformats.org/officeDocument/2006/relationships/hyperlink" Target="#DEDU&#199;&#213;ES!D3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EDU&#199;&#213;ES!D3"/><Relationship Id="rId2" Type="http://schemas.openxmlformats.org/officeDocument/2006/relationships/hyperlink" Target="#ENTRADAS!D3"/><Relationship Id="rId1" Type="http://schemas.openxmlformats.org/officeDocument/2006/relationships/hyperlink" Target="#TITULAR!D3"/><Relationship Id="rId6" Type="http://schemas.openxmlformats.org/officeDocument/2006/relationships/hyperlink" Target="#ENTRADAS!A1"/><Relationship Id="rId5" Type="http://schemas.openxmlformats.org/officeDocument/2006/relationships/image" Target="../media/image1.png"/><Relationship Id="rId4" Type="http://schemas.openxmlformats.org/officeDocument/2006/relationships/hyperlink" Target="#'RESUMO FINAL'!D3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D3"/><Relationship Id="rId7" Type="http://schemas.openxmlformats.org/officeDocument/2006/relationships/hyperlink" Target="#DEDU&#199;&#213;ES!C5"/><Relationship Id="rId2" Type="http://schemas.openxmlformats.org/officeDocument/2006/relationships/hyperlink" Target="#TITULAR!D3"/><Relationship Id="rId1" Type="http://schemas.openxmlformats.org/officeDocument/2006/relationships/hyperlink" Target="#INFORMES!C5"/><Relationship Id="rId6" Type="http://schemas.openxmlformats.org/officeDocument/2006/relationships/image" Target="../media/image1.png"/><Relationship Id="rId5" Type="http://schemas.openxmlformats.org/officeDocument/2006/relationships/hyperlink" Target="#'RESUMO FINAL'!D3"/><Relationship Id="rId4" Type="http://schemas.openxmlformats.org/officeDocument/2006/relationships/hyperlink" Target="#DEDU&#199;&#213;ES!D3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ENTRADAS!D3"/><Relationship Id="rId2" Type="http://schemas.openxmlformats.org/officeDocument/2006/relationships/hyperlink" Target="#INFORMES!D3"/><Relationship Id="rId1" Type="http://schemas.openxmlformats.org/officeDocument/2006/relationships/hyperlink" Target="#TITULAR!D3"/><Relationship Id="rId5" Type="http://schemas.openxmlformats.org/officeDocument/2006/relationships/image" Target="../media/image1.png"/><Relationship Id="rId4" Type="http://schemas.openxmlformats.org/officeDocument/2006/relationships/hyperlink" Target="#'RESUMO FINAL'!D3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ENTRADAS!D3"/><Relationship Id="rId2" Type="http://schemas.openxmlformats.org/officeDocument/2006/relationships/hyperlink" Target="#INFORMES!D3"/><Relationship Id="rId1" Type="http://schemas.openxmlformats.org/officeDocument/2006/relationships/hyperlink" Target="#TITULAR!D3"/><Relationship Id="rId5" Type="http://schemas.openxmlformats.org/officeDocument/2006/relationships/image" Target="../media/image1.png"/><Relationship Id="rId4" Type="http://schemas.openxmlformats.org/officeDocument/2006/relationships/hyperlink" Target="#DEDU&#199;&#213;ES!D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398034</xdr:colOff>
      <xdr:row>0</xdr:row>
      <xdr:rowOff>0</xdr:rowOff>
    </xdr:from>
    <xdr:to>
      <xdr:col>0</xdr:col>
      <xdr:colOff>1880189</xdr:colOff>
      <xdr:row>8</xdr:row>
      <xdr:rowOff>89548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82870A09-978E-A64D-0DE3-C61AAE074C70}"/>
            </a:ext>
          </a:extLst>
        </xdr:cNvPr>
        <xdr:cNvGrpSpPr/>
      </xdr:nvGrpSpPr>
      <xdr:grpSpPr>
        <a:xfrm>
          <a:off x="398034" y="0"/>
          <a:ext cx="1482155" cy="1613548"/>
          <a:chOff x="776783" y="0"/>
          <a:chExt cx="1672687" cy="1690561"/>
        </a:xfrm>
      </xdr:grpSpPr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DF2E92C8-4C3A-9B26-EFB6-A600AE2193D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9355" t="17742" r="19758" b="18145"/>
          <a:stretch/>
        </xdr:blipFill>
        <xdr:spPr>
          <a:xfrm>
            <a:off x="824555" y="0"/>
            <a:ext cx="1337930" cy="1386486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ECD23320-71C0-40D6-145E-8919D47A0451}"/>
              </a:ext>
            </a:extLst>
          </xdr:cNvPr>
          <xdr:cNvSpPr txBox="1"/>
        </xdr:nvSpPr>
        <xdr:spPr>
          <a:xfrm>
            <a:off x="776783" y="1298831"/>
            <a:ext cx="1672687" cy="39173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4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8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Impact" panose="020B0806030902050204" pitchFamily="34" charset="0"/>
                <a:ea typeface="Segoe UI Black" panose="020B0A02040204020203" pitchFamily="34" charset="0"/>
              </a:rPr>
              <a:t>LION APP - IR</a:t>
            </a:r>
          </a:p>
        </xdr:txBody>
      </xdr:sp>
    </xdr:grpSp>
    <xdr:clientData/>
  </xdr:twoCellAnchor>
  <xdr:twoCellAnchor>
    <xdr:from>
      <xdr:col>3</xdr:col>
      <xdr:colOff>1142999</xdr:colOff>
      <xdr:row>23</xdr:row>
      <xdr:rowOff>128197</xdr:rowOff>
    </xdr:from>
    <xdr:to>
      <xdr:col>3</xdr:col>
      <xdr:colOff>2309170</xdr:colOff>
      <xdr:row>25</xdr:row>
      <xdr:rowOff>22860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C91B0F-3D1D-7B34-6733-8DD360E335C4}"/>
            </a:ext>
          </a:extLst>
        </xdr:cNvPr>
        <xdr:cNvSpPr/>
      </xdr:nvSpPr>
      <xdr:spPr>
        <a:xfrm>
          <a:off x="6431279" y="4395397"/>
          <a:ext cx="1166171" cy="260423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PRÓXIMO</a:t>
          </a:r>
        </a:p>
      </xdr:txBody>
    </xdr:sp>
    <xdr:clientData/>
  </xdr:twoCellAnchor>
  <xdr:twoCellAnchor>
    <xdr:from>
      <xdr:col>0</xdr:col>
      <xdr:colOff>0</xdr:colOff>
      <xdr:row>11</xdr:row>
      <xdr:rowOff>44276</xdr:rowOff>
    </xdr:from>
    <xdr:to>
      <xdr:col>0</xdr:col>
      <xdr:colOff>1946148</xdr:colOff>
      <xdr:row>25</xdr:row>
      <xdr:rowOff>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CFAB1DE8-6102-B03A-60DB-B394983DCAF8}"/>
            </a:ext>
          </a:extLst>
        </xdr:cNvPr>
        <xdr:cNvGrpSpPr/>
      </xdr:nvGrpSpPr>
      <xdr:grpSpPr>
        <a:xfrm>
          <a:off x="0" y="2116916"/>
          <a:ext cx="1946148" cy="2516044"/>
          <a:chOff x="0" y="2116916"/>
          <a:chExt cx="1946148" cy="2516044"/>
        </a:xfrm>
      </xdr:grpSpPr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BCA2D141-07E6-9357-0B8C-A94469CDAA99}"/>
              </a:ext>
            </a:extLst>
          </xdr:cNvPr>
          <xdr:cNvSpPr/>
        </xdr:nvSpPr>
        <xdr:spPr>
          <a:xfrm>
            <a:off x="18288" y="2116916"/>
            <a:ext cx="1927860" cy="4191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Segoe UI Black" panose="020B0A02040204020203" pitchFamily="34" charset="0"/>
                <a:ea typeface="Segoe UI Black" panose="020B0A02040204020203" pitchFamily="34" charset="0"/>
              </a:rPr>
              <a:t>TITULAR</a:t>
            </a:r>
          </a:p>
        </xdr:txBody>
      </xdr:sp>
      <xdr:sp macro="" textlink="">
        <xdr:nvSpPr>
          <xdr:cNvPr id="13" name="Retângulo 1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BEB489B-841B-489F-9E9B-F9366A623941}"/>
              </a:ext>
            </a:extLst>
          </xdr:cNvPr>
          <xdr:cNvSpPr/>
        </xdr:nvSpPr>
        <xdr:spPr>
          <a:xfrm>
            <a:off x="13716" y="2641152"/>
            <a:ext cx="1927860" cy="41910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Segoe UI Black" panose="020B0A02040204020203" pitchFamily="34" charset="0"/>
                <a:ea typeface="Segoe UI Black" panose="020B0A02040204020203" pitchFamily="34" charset="0"/>
              </a:rPr>
              <a:t>INFORMES</a:t>
            </a:r>
          </a:p>
        </xdr:txBody>
      </xdr:sp>
      <xdr:sp macro="" textlink="">
        <xdr:nvSpPr>
          <xdr:cNvPr id="14" name="Retângulo 1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B84F981-4B9E-49DF-B04B-E25A6F832F7E}"/>
              </a:ext>
            </a:extLst>
          </xdr:cNvPr>
          <xdr:cNvSpPr/>
        </xdr:nvSpPr>
        <xdr:spPr>
          <a:xfrm>
            <a:off x="9144" y="3165388"/>
            <a:ext cx="1927860" cy="41910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Segoe UI Black" panose="020B0A02040204020203" pitchFamily="34" charset="0"/>
                <a:ea typeface="Segoe UI Black" panose="020B0A02040204020203" pitchFamily="34" charset="0"/>
              </a:rPr>
              <a:t>ENTRADAS</a:t>
            </a:r>
          </a:p>
        </xdr:txBody>
      </xdr:sp>
      <xdr:sp macro="" textlink="">
        <xdr:nvSpPr>
          <xdr:cNvPr id="3" name="Retângulo 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C302CB3-0CBA-4353-8B66-BFF8EF00AE4F}"/>
              </a:ext>
            </a:extLst>
          </xdr:cNvPr>
          <xdr:cNvSpPr/>
        </xdr:nvSpPr>
        <xdr:spPr>
          <a:xfrm>
            <a:off x="4572" y="3689624"/>
            <a:ext cx="1927860" cy="41910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Segoe UI Black" panose="020B0A02040204020203" pitchFamily="34" charset="0"/>
                <a:ea typeface="Segoe UI Black" panose="020B0A02040204020203" pitchFamily="34" charset="0"/>
              </a:rPr>
              <a:t>DEDUÇÕES</a:t>
            </a:r>
          </a:p>
        </xdr:txBody>
      </xdr:sp>
      <xdr:sp macro="" textlink="">
        <xdr:nvSpPr>
          <xdr:cNvPr id="4" name="Retângulo 3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3EC9564-5931-4284-B51B-B7B573316D2B}"/>
              </a:ext>
            </a:extLst>
          </xdr:cNvPr>
          <xdr:cNvSpPr/>
        </xdr:nvSpPr>
        <xdr:spPr>
          <a:xfrm>
            <a:off x="0" y="4213860"/>
            <a:ext cx="1927860" cy="41910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Segoe UI Black" panose="020B0A02040204020203" pitchFamily="34" charset="0"/>
                <a:ea typeface="Segoe UI Black" panose="020B0A02040204020203" pitchFamily="34" charset="0"/>
              </a:rPr>
              <a:t>RESUMO</a:t>
            </a:r>
            <a:r>
              <a:rPr lang="pt-BR" sz="1600" baseline="0">
                <a:latin typeface="Segoe UI Black" panose="020B0A02040204020203" pitchFamily="34" charset="0"/>
                <a:ea typeface="Segoe UI Black" panose="020B0A02040204020203" pitchFamily="34" charset="0"/>
              </a:rPr>
              <a:t> FINAL</a:t>
            </a:r>
            <a:endParaRPr lang="pt-BR" sz="16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1946148</xdr:colOff>
      <xdr:row>24</xdr:row>
      <xdr:rowOff>161464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id="{F337183A-1783-D6E8-3034-11E05A722969}"/>
            </a:ext>
          </a:extLst>
        </xdr:cNvPr>
        <xdr:cNvGrpSpPr/>
      </xdr:nvGrpSpPr>
      <xdr:grpSpPr>
        <a:xfrm>
          <a:off x="0" y="22860"/>
          <a:ext cx="1946148" cy="4588684"/>
          <a:chOff x="0" y="22860"/>
          <a:chExt cx="1946148" cy="4588684"/>
        </a:xfrm>
      </xdr:grpSpPr>
      <xdr:grpSp>
        <xdr:nvGrpSpPr>
          <xdr:cNvPr id="45" name="Agrupar 44">
            <a:extLst>
              <a:ext uri="{FF2B5EF4-FFF2-40B4-BE49-F238E27FC236}">
                <a16:creationId xmlns:a16="http://schemas.microsoft.com/office/drawing/2014/main" id="{621F097B-39D4-41C9-9280-824FF49AB1F6}"/>
              </a:ext>
            </a:extLst>
          </xdr:cNvPr>
          <xdr:cNvGrpSpPr/>
        </xdr:nvGrpSpPr>
        <xdr:grpSpPr>
          <a:xfrm>
            <a:off x="0" y="2095500"/>
            <a:ext cx="1946148" cy="2516044"/>
            <a:chOff x="488442" y="1714500"/>
            <a:chExt cx="1946148" cy="2516044"/>
          </a:xfrm>
        </xdr:grpSpPr>
        <xdr:sp macro="" textlink="">
          <xdr:nvSpPr>
            <xdr:cNvPr id="46" name="Retângulo 45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B656062C-3B7B-8F0D-C15B-3B83017A4F9C}"/>
                </a:ext>
              </a:extLst>
            </xdr:cNvPr>
            <xdr:cNvSpPr/>
          </xdr:nvSpPr>
          <xdr:spPr>
            <a:xfrm>
              <a:off x="506730" y="1714500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TITULAR</a:t>
              </a:r>
            </a:p>
          </xdr:txBody>
        </xdr:sp>
        <xdr:sp macro="" textlink="">
          <xdr:nvSpPr>
            <xdr:cNvPr id="47" name="Retângulo 46">
              <a:extLst>
                <a:ext uri="{FF2B5EF4-FFF2-40B4-BE49-F238E27FC236}">
                  <a16:creationId xmlns:a16="http://schemas.microsoft.com/office/drawing/2014/main" id="{9AE86177-7497-9492-D8B5-9675110B7D2F}"/>
                </a:ext>
              </a:extLst>
            </xdr:cNvPr>
            <xdr:cNvSpPr/>
          </xdr:nvSpPr>
          <xdr:spPr>
            <a:xfrm>
              <a:off x="502158" y="2238736"/>
              <a:ext cx="1927860" cy="41910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INFORMES</a:t>
              </a:r>
            </a:p>
          </xdr:txBody>
        </xdr:sp>
        <xdr:sp macro="" textlink="">
          <xdr:nvSpPr>
            <xdr:cNvPr id="48" name="Retângulo 47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2CAC2845-C2D7-4AA6-17AE-82655F60DBE7}"/>
                </a:ext>
              </a:extLst>
            </xdr:cNvPr>
            <xdr:cNvSpPr/>
          </xdr:nvSpPr>
          <xdr:spPr>
            <a:xfrm>
              <a:off x="497586" y="2762972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ENTRADAS</a:t>
              </a:r>
            </a:p>
          </xdr:txBody>
        </xdr:sp>
        <xdr:sp macro="" textlink="">
          <xdr:nvSpPr>
            <xdr:cNvPr id="49" name="Retângulo 48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F7044ACF-4AA7-1953-3968-ACF63E257B43}"/>
                </a:ext>
              </a:extLst>
            </xdr:cNvPr>
            <xdr:cNvSpPr/>
          </xdr:nvSpPr>
          <xdr:spPr>
            <a:xfrm>
              <a:off x="493014" y="3287208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DEDUÇÕES</a:t>
              </a:r>
            </a:p>
          </xdr:txBody>
        </xdr:sp>
        <xdr:sp macro="" textlink="">
          <xdr:nvSpPr>
            <xdr:cNvPr id="50" name="Retângulo 49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E1225475-53E4-C025-AF1A-368884C7B1E1}"/>
                </a:ext>
              </a:extLst>
            </xdr:cNvPr>
            <xdr:cNvSpPr/>
          </xdr:nvSpPr>
          <xdr:spPr>
            <a:xfrm>
              <a:off x="488442" y="3811444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RESUMO</a:t>
              </a:r>
              <a:r>
                <a:rPr lang="pt-BR" sz="1600" baseline="0">
                  <a:latin typeface="Segoe UI Black" panose="020B0A02040204020203" pitchFamily="34" charset="0"/>
                  <a:ea typeface="Segoe UI Black" panose="020B0A02040204020203" pitchFamily="34" charset="0"/>
                </a:rPr>
                <a:t> FINAL</a:t>
              </a:r>
              <a:endParaRPr lang="pt-BR" sz="1600">
                <a:latin typeface="Segoe UI Black" panose="020B0A02040204020203" pitchFamily="34" charset="0"/>
                <a:ea typeface="Segoe UI Black" panose="020B0A02040204020203" pitchFamily="34" charset="0"/>
              </a:endParaRPr>
            </a:p>
          </xdr:txBody>
        </xdr:sp>
      </xdr:grpSp>
      <xdr:grpSp>
        <xdr:nvGrpSpPr>
          <xdr:cNvPr id="52" name="Agrupar 51">
            <a:extLst>
              <a:ext uri="{FF2B5EF4-FFF2-40B4-BE49-F238E27FC236}">
                <a16:creationId xmlns:a16="http://schemas.microsoft.com/office/drawing/2014/main" id="{470A92E0-5D31-478F-A7C5-E4D2A9F81D4F}"/>
              </a:ext>
            </a:extLst>
          </xdr:cNvPr>
          <xdr:cNvGrpSpPr/>
        </xdr:nvGrpSpPr>
        <xdr:grpSpPr>
          <a:xfrm>
            <a:off x="396240" y="22860"/>
            <a:ext cx="1482155" cy="1613548"/>
            <a:chOff x="776783" y="0"/>
            <a:chExt cx="1672687" cy="1690561"/>
          </a:xfrm>
        </xdr:grpSpPr>
        <xdr:pic>
          <xdr:nvPicPr>
            <xdr:cNvPr id="53" name="Imagem 52">
              <a:extLst>
                <a:ext uri="{FF2B5EF4-FFF2-40B4-BE49-F238E27FC236}">
                  <a16:creationId xmlns:a16="http://schemas.microsoft.com/office/drawing/2014/main" id="{062331CA-A2FC-11B3-5003-A4EFE43D7FA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>
              <a:duotone>
                <a:schemeClr val="accent1">
                  <a:shade val="45000"/>
                  <a:satMod val="135000"/>
                </a:scheme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9355" t="17742" r="19758" b="18145"/>
            <a:stretch/>
          </xdr:blipFill>
          <xdr:spPr>
            <a:xfrm>
              <a:off x="824555" y="0"/>
              <a:ext cx="1337930" cy="1386486"/>
            </a:xfrm>
            <a:prstGeom prst="rect">
              <a:avLst/>
            </a:prstGeom>
            <a:ln>
              <a:noFill/>
            </a:ln>
          </xdr:spPr>
        </xdr:pic>
        <xdr:sp macro="" textlink="">
          <xdr:nvSpPr>
            <xdr:cNvPr id="54" name="CaixaDeTexto 53">
              <a:extLst>
                <a:ext uri="{FF2B5EF4-FFF2-40B4-BE49-F238E27FC236}">
                  <a16:creationId xmlns:a16="http://schemas.microsoft.com/office/drawing/2014/main" id="{EEC90678-C5DD-3983-9ABB-317A9C7C434C}"/>
                </a:ext>
              </a:extLst>
            </xdr:cNvPr>
            <xdr:cNvSpPr txBox="1"/>
          </xdr:nvSpPr>
          <xdr:spPr>
            <a:xfrm>
              <a:off x="776783" y="1298831"/>
              <a:ext cx="1672687" cy="39173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4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800" b="0" cap="none" spc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Impact" panose="020B0806030902050204" pitchFamily="34" charset="0"/>
                  <a:ea typeface="Segoe UI Black" panose="020B0A02040204020203" pitchFamily="34" charset="0"/>
                </a:rPr>
                <a:t>LION APP - IR</a:t>
              </a:r>
            </a:p>
          </xdr:txBody>
        </xdr:sp>
      </xdr:grpSp>
    </xdr:grpSp>
    <xdr:clientData/>
  </xdr:twoCellAnchor>
  <xdr:twoCellAnchor>
    <xdr:from>
      <xdr:col>3</xdr:col>
      <xdr:colOff>1173480</xdr:colOff>
      <xdr:row>23</xdr:row>
      <xdr:rowOff>0</xdr:rowOff>
    </xdr:from>
    <xdr:to>
      <xdr:col>4</xdr:col>
      <xdr:colOff>23171</xdr:colOff>
      <xdr:row>24</xdr:row>
      <xdr:rowOff>77543</xdr:rowOff>
    </xdr:to>
    <xdr:sp macro="" textlink="">
      <xdr:nvSpPr>
        <xdr:cNvPr id="56" name="Retângulo: Cantos Arredondados 5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88561EE-0BD1-4D0B-956A-55840F0BC1A4}"/>
            </a:ext>
          </a:extLst>
        </xdr:cNvPr>
        <xdr:cNvSpPr/>
      </xdr:nvSpPr>
      <xdr:spPr>
        <a:xfrm>
          <a:off x="6461760" y="4267200"/>
          <a:ext cx="1166171" cy="260423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PRÓXIMO</a:t>
          </a:r>
        </a:p>
      </xdr:txBody>
    </xdr:sp>
    <xdr:clientData/>
  </xdr:twoCellAnchor>
  <xdr:twoCellAnchor>
    <xdr:from>
      <xdr:col>1</xdr:col>
      <xdr:colOff>571500</xdr:colOff>
      <xdr:row>23</xdr:row>
      <xdr:rowOff>0</xdr:rowOff>
    </xdr:from>
    <xdr:to>
      <xdr:col>2</xdr:col>
      <xdr:colOff>1128071</xdr:colOff>
      <xdr:row>24</xdr:row>
      <xdr:rowOff>77543</xdr:rowOff>
    </xdr:to>
    <xdr:sp macro="" textlink="">
      <xdr:nvSpPr>
        <xdr:cNvPr id="57" name="Retângulo: Cantos Arredondado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08DC31-8B71-4F16-8B68-EF006656DE4A}"/>
            </a:ext>
          </a:extLst>
        </xdr:cNvPr>
        <xdr:cNvSpPr/>
      </xdr:nvSpPr>
      <xdr:spPr>
        <a:xfrm>
          <a:off x="2537460" y="4267200"/>
          <a:ext cx="1166171" cy="260423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VOLTAR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30480</xdr:rowOff>
    </xdr:from>
    <xdr:to>
      <xdr:col>2</xdr:col>
      <xdr:colOff>891540</xdr:colOff>
      <xdr:row>7</xdr:row>
      <xdr:rowOff>60959</xdr:rowOff>
    </xdr:to>
    <xdr:sp macro="" textlink="">
      <xdr:nvSpPr>
        <xdr:cNvPr id="8" name="Retângulo: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F9FEDE-E589-4918-A259-2073BB2FDCFA}"/>
            </a:ext>
          </a:extLst>
        </xdr:cNvPr>
        <xdr:cNvSpPr/>
      </xdr:nvSpPr>
      <xdr:spPr>
        <a:xfrm>
          <a:off x="2575560" y="1188720"/>
          <a:ext cx="891540" cy="213359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VOLTAR</a:t>
          </a:r>
        </a:p>
      </xdr:txBody>
    </xdr:sp>
    <xdr:clientData/>
  </xdr:twoCellAnchor>
  <xdr:twoCellAnchor>
    <xdr:from>
      <xdr:col>0</xdr:col>
      <xdr:colOff>0</xdr:colOff>
      <xdr:row>0</xdr:row>
      <xdr:rowOff>53340</xdr:rowOff>
    </xdr:from>
    <xdr:to>
      <xdr:col>0</xdr:col>
      <xdr:colOff>1946148</xdr:colOff>
      <xdr:row>24</xdr:row>
      <xdr:rowOff>161464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6F81E748-CC15-4D14-848A-653DFD2DCFCE}"/>
            </a:ext>
          </a:extLst>
        </xdr:cNvPr>
        <xdr:cNvGrpSpPr/>
      </xdr:nvGrpSpPr>
      <xdr:grpSpPr>
        <a:xfrm>
          <a:off x="0" y="53340"/>
          <a:ext cx="1946148" cy="4573444"/>
          <a:chOff x="0" y="22860"/>
          <a:chExt cx="1946148" cy="4588684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CC10F156-85C0-FAC1-FA26-A4970E53B117}"/>
              </a:ext>
            </a:extLst>
          </xdr:cNvPr>
          <xdr:cNvGrpSpPr/>
        </xdr:nvGrpSpPr>
        <xdr:grpSpPr>
          <a:xfrm>
            <a:off x="0" y="2095500"/>
            <a:ext cx="1946148" cy="2516044"/>
            <a:chOff x="488442" y="1714500"/>
            <a:chExt cx="1946148" cy="2516044"/>
          </a:xfrm>
        </xdr:grpSpPr>
        <xdr:sp macro="" textlink="">
          <xdr:nvSpPr>
            <xdr:cNvPr id="28" name="Retângulo 27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A35E2EFE-1620-2E4A-E9F5-B50D41F17A18}"/>
                </a:ext>
              </a:extLst>
            </xdr:cNvPr>
            <xdr:cNvSpPr/>
          </xdr:nvSpPr>
          <xdr:spPr>
            <a:xfrm>
              <a:off x="506730" y="1714500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TITULAR</a:t>
              </a:r>
            </a:p>
          </xdr:txBody>
        </xdr:sp>
        <xdr:sp macro="" textlink="">
          <xdr:nvSpPr>
            <xdr:cNvPr id="29" name="Retângulo 28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4F5FFE97-E1F8-FB1B-C14A-FB47A450D22B}"/>
                </a:ext>
              </a:extLst>
            </xdr:cNvPr>
            <xdr:cNvSpPr/>
          </xdr:nvSpPr>
          <xdr:spPr>
            <a:xfrm>
              <a:off x="502158" y="2238736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INFORMES</a:t>
              </a:r>
            </a:p>
          </xdr:txBody>
        </xdr:sp>
        <xdr:sp macro="" textlink="">
          <xdr:nvSpPr>
            <xdr:cNvPr id="30" name="Retângulo 29">
              <a:extLst>
                <a:ext uri="{FF2B5EF4-FFF2-40B4-BE49-F238E27FC236}">
                  <a16:creationId xmlns:a16="http://schemas.microsoft.com/office/drawing/2014/main" id="{7548D820-EF2B-AA19-CFD9-20872FB5083F}"/>
                </a:ext>
              </a:extLst>
            </xdr:cNvPr>
            <xdr:cNvSpPr/>
          </xdr:nvSpPr>
          <xdr:spPr>
            <a:xfrm>
              <a:off x="497586" y="2762972"/>
              <a:ext cx="1927860" cy="41910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ENTRADAS</a:t>
              </a:r>
            </a:p>
          </xdr:txBody>
        </xdr:sp>
        <xdr:sp macro="" textlink="">
          <xdr:nvSpPr>
            <xdr:cNvPr id="31" name="Retângulo 30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2A01F377-522D-5879-B5D7-9E3817483371}"/>
                </a:ext>
              </a:extLst>
            </xdr:cNvPr>
            <xdr:cNvSpPr/>
          </xdr:nvSpPr>
          <xdr:spPr>
            <a:xfrm>
              <a:off x="493014" y="3287208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DEDUÇÕES</a:t>
              </a:r>
            </a:p>
          </xdr:txBody>
        </xdr:sp>
        <xdr:sp macro="" textlink="">
          <xdr:nvSpPr>
            <xdr:cNvPr id="32" name="Retângulo 31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6D7BC151-7289-B881-138E-30C4705EA16F}"/>
                </a:ext>
              </a:extLst>
            </xdr:cNvPr>
            <xdr:cNvSpPr/>
          </xdr:nvSpPr>
          <xdr:spPr>
            <a:xfrm>
              <a:off x="488442" y="3811444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RESUMO</a:t>
              </a:r>
              <a:r>
                <a:rPr lang="pt-BR" sz="1600" baseline="0">
                  <a:latin typeface="Segoe UI Black" panose="020B0A02040204020203" pitchFamily="34" charset="0"/>
                  <a:ea typeface="Segoe UI Black" panose="020B0A02040204020203" pitchFamily="34" charset="0"/>
                </a:rPr>
                <a:t> FINAL</a:t>
              </a:r>
              <a:endParaRPr lang="pt-BR" sz="1600">
                <a:latin typeface="Segoe UI Black" panose="020B0A02040204020203" pitchFamily="34" charset="0"/>
                <a:ea typeface="Segoe UI Black" panose="020B0A02040204020203" pitchFamily="34" charset="0"/>
              </a:endParaRP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94C21F0F-B464-7452-B01F-8B7098D60212}"/>
              </a:ext>
            </a:extLst>
          </xdr:cNvPr>
          <xdr:cNvGrpSpPr/>
        </xdr:nvGrpSpPr>
        <xdr:grpSpPr>
          <a:xfrm>
            <a:off x="396240" y="22860"/>
            <a:ext cx="1482155" cy="1613548"/>
            <a:chOff x="776783" y="0"/>
            <a:chExt cx="1672687" cy="1690561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B402EBEE-BE37-E334-E215-AFE0C0C490D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">
              <a:duotone>
                <a:schemeClr val="accent1">
                  <a:shade val="45000"/>
                  <a:satMod val="135000"/>
                </a:scheme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9355" t="17742" r="19758" b="18145"/>
            <a:stretch/>
          </xdr:blipFill>
          <xdr:spPr>
            <a:xfrm>
              <a:off x="824555" y="0"/>
              <a:ext cx="1337930" cy="1386486"/>
            </a:xfrm>
            <a:prstGeom prst="rect">
              <a:avLst/>
            </a:prstGeom>
            <a:ln>
              <a:noFill/>
            </a:ln>
          </xdr:spPr>
        </xdr:pic>
        <xdr:sp macro="" textlink="">
          <xdr:nvSpPr>
            <xdr:cNvPr id="27" name="CaixaDeTexto 26">
              <a:extLst>
                <a:ext uri="{FF2B5EF4-FFF2-40B4-BE49-F238E27FC236}">
                  <a16:creationId xmlns:a16="http://schemas.microsoft.com/office/drawing/2014/main" id="{4F31474F-23C3-589F-364F-38D27AAFA33C}"/>
                </a:ext>
              </a:extLst>
            </xdr:cNvPr>
            <xdr:cNvSpPr txBox="1"/>
          </xdr:nvSpPr>
          <xdr:spPr>
            <a:xfrm>
              <a:off x="776783" y="1298831"/>
              <a:ext cx="1672687" cy="39173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4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800" b="0" cap="none" spc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Impact" panose="020B0806030902050204" pitchFamily="34" charset="0"/>
                  <a:ea typeface="Segoe UI Black" panose="020B0A02040204020203" pitchFamily="34" charset="0"/>
                </a:rPr>
                <a:t>LION APP - IR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99060</xdr:rowOff>
    </xdr:from>
    <xdr:to>
      <xdr:col>2</xdr:col>
      <xdr:colOff>891540</xdr:colOff>
      <xdr:row>5</xdr:row>
      <xdr:rowOff>144780</xdr:rowOff>
    </xdr:to>
    <xdr:sp macro="" textlink="">
      <xdr:nvSpPr>
        <xdr:cNvPr id="33" name="Retângulo: Cantos Arredondados 3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A7EEC5-F5FD-4436-9E37-CFCA4BD77725}"/>
            </a:ext>
          </a:extLst>
        </xdr:cNvPr>
        <xdr:cNvSpPr/>
      </xdr:nvSpPr>
      <xdr:spPr>
        <a:xfrm>
          <a:off x="2575560" y="891540"/>
          <a:ext cx="891540" cy="2286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1946148</xdr:colOff>
      <xdr:row>24</xdr:row>
      <xdr:rowOff>138604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01888D2C-EB7B-4C50-AB77-F10633B6D54C}"/>
            </a:ext>
          </a:extLst>
        </xdr:cNvPr>
        <xdr:cNvGrpSpPr/>
      </xdr:nvGrpSpPr>
      <xdr:grpSpPr>
        <a:xfrm>
          <a:off x="0" y="0"/>
          <a:ext cx="1946148" cy="4588684"/>
          <a:chOff x="0" y="22860"/>
          <a:chExt cx="1946148" cy="4588684"/>
        </a:xfrm>
      </xdr:grpSpPr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03A4D6B6-3A21-4408-E105-00415F218B1C}"/>
              </a:ext>
            </a:extLst>
          </xdr:cNvPr>
          <xdr:cNvGrpSpPr/>
        </xdr:nvGrpSpPr>
        <xdr:grpSpPr>
          <a:xfrm>
            <a:off x="0" y="2095500"/>
            <a:ext cx="1946148" cy="2516044"/>
            <a:chOff x="488442" y="1714500"/>
            <a:chExt cx="1946148" cy="2516044"/>
          </a:xfrm>
        </xdr:grpSpPr>
        <xdr:sp macro="" textlink="">
          <xdr:nvSpPr>
            <xdr:cNvPr id="27" name="Retângulo 26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E009F837-1194-5662-9915-CBB19238AAEF}"/>
                </a:ext>
              </a:extLst>
            </xdr:cNvPr>
            <xdr:cNvSpPr/>
          </xdr:nvSpPr>
          <xdr:spPr>
            <a:xfrm>
              <a:off x="506730" y="1714500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TITULAR</a:t>
              </a:r>
            </a:p>
          </xdr:txBody>
        </xdr:sp>
        <xdr:sp macro="" textlink="">
          <xdr:nvSpPr>
            <xdr:cNvPr id="28" name="Retângulo 27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C116285-5E49-CBED-6A1F-7084CAF69FC4}"/>
                </a:ext>
              </a:extLst>
            </xdr:cNvPr>
            <xdr:cNvSpPr/>
          </xdr:nvSpPr>
          <xdr:spPr>
            <a:xfrm>
              <a:off x="502158" y="2238736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INFORMES</a:t>
              </a:r>
            </a:p>
          </xdr:txBody>
        </xdr:sp>
        <xdr:sp macro="" textlink="">
          <xdr:nvSpPr>
            <xdr:cNvPr id="29" name="Retângulo 28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7E6E6327-95CC-4204-98BB-1267938DC961}"/>
                </a:ext>
              </a:extLst>
            </xdr:cNvPr>
            <xdr:cNvSpPr/>
          </xdr:nvSpPr>
          <xdr:spPr>
            <a:xfrm>
              <a:off x="497586" y="2762972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ENTRADAS</a:t>
              </a:r>
            </a:p>
          </xdr:txBody>
        </xdr:sp>
        <xdr:sp macro="" textlink="">
          <xdr:nvSpPr>
            <xdr:cNvPr id="30" name="Retângulo 29">
              <a:extLst>
                <a:ext uri="{FF2B5EF4-FFF2-40B4-BE49-F238E27FC236}">
                  <a16:creationId xmlns:a16="http://schemas.microsoft.com/office/drawing/2014/main" id="{D79A4317-5842-AE3F-89A3-B164B8CBA931}"/>
                </a:ext>
              </a:extLst>
            </xdr:cNvPr>
            <xdr:cNvSpPr/>
          </xdr:nvSpPr>
          <xdr:spPr>
            <a:xfrm>
              <a:off x="493014" y="3287208"/>
              <a:ext cx="1927860" cy="41910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DEDUÇÕES</a:t>
              </a:r>
            </a:p>
          </xdr:txBody>
        </xdr:sp>
        <xdr:sp macro="" textlink="">
          <xdr:nvSpPr>
            <xdr:cNvPr id="31" name="Retângulo 30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C034CC6D-33FE-EB52-DCD5-44A4A185349B}"/>
                </a:ext>
              </a:extLst>
            </xdr:cNvPr>
            <xdr:cNvSpPr/>
          </xdr:nvSpPr>
          <xdr:spPr>
            <a:xfrm>
              <a:off x="488442" y="3811444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RESUMO</a:t>
              </a:r>
              <a:r>
                <a:rPr lang="pt-BR" sz="1600" baseline="0">
                  <a:latin typeface="Segoe UI Black" panose="020B0A02040204020203" pitchFamily="34" charset="0"/>
                  <a:ea typeface="Segoe UI Black" panose="020B0A02040204020203" pitchFamily="34" charset="0"/>
                </a:rPr>
                <a:t> FINAL</a:t>
              </a:r>
              <a:endParaRPr lang="pt-BR" sz="1600">
                <a:latin typeface="Segoe UI Black" panose="020B0A02040204020203" pitchFamily="34" charset="0"/>
                <a:ea typeface="Segoe UI Black" panose="020B0A02040204020203" pitchFamily="34" charset="0"/>
              </a:endParaRPr>
            </a:p>
          </xdr:txBody>
        </xdr: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4B082664-7192-82F7-B6CB-AC32259C9AD4}"/>
              </a:ext>
            </a:extLst>
          </xdr:cNvPr>
          <xdr:cNvGrpSpPr/>
        </xdr:nvGrpSpPr>
        <xdr:grpSpPr>
          <a:xfrm>
            <a:off x="396240" y="22860"/>
            <a:ext cx="1482155" cy="1613548"/>
            <a:chOff x="776783" y="0"/>
            <a:chExt cx="1672687" cy="1690561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FB270AA5-2F68-AC47-C2CB-D19AF1B9539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>
              <a:duotone>
                <a:schemeClr val="accent1">
                  <a:shade val="45000"/>
                  <a:satMod val="135000"/>
                </a:scheme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9355" t="17742" r="19758" b="18145"/>
            <a:stretch/>
          </xdr:blipFill>
          <xdr:spPr>
            <a:xfrm>
              <a:off x="824555" y="0"/>
              <a:ext cx="1337930" cy="1386486"/>
            </a:xfrm>
            <a:prstGeom prst="rect">
              <a:avLst/>
            </a:prstGeom>
            <a:ln>
              <a:noFill/>
            </a:ln>
          </xdr:spPr>
        </xdr:pic>
        <xdr:sp macro="" textlink="">
          <xdr:nvSpPr>
            <xdr:cNvPr id="26" name="CaixaDeTexto 25">
              <a:extLst>
                <a:ext uri="{FF2B5EF4-FFF2-40B4-BE49-F238E27FC236}">
                  <a16:creationId xmlns:a16="http://schemas.microsoft.com/office/drawing/2014/main" id="{71A74E9E-F88F-C9DD-840D-C8AA9A21966F}"/>
                </a:ext>
              </a:extLst>
            </xdr:cNvPr>
            <xdr:cNvSpPr txBox="1"/>
          </xdr:nvSpPr>
          <xdr:spPr>
            <a:xfrm>
              <a:off x="776783" y="1298831"/>
              <a:ext cx="1672687" cy="39173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4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800" b="0" cap="none" spc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Impact" panose="020B0806030902050204" pitchFamily="34" charset="0"/>
                  <a:ea typeface="Segoe UI Black" panose="020B0A02040204020203" pitchFamily="34" charset="0"/>
                </a:rPr>
                <a:t>LION APP - IR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6</xdr:row>
      <xdr:rowOff>38100</xdr:rowOff>
    </xdr:from>
    <xdr:to>
      <xdr:col>2</xdr:col>
      <xdr:colOff>891540</xdr:colOff>
      <xdr:row>7</xdr:row>
      <xdr:rowOff>53339</xdr:rowOff>
    </xdr:to>
    <xdr:sp macro="" textlink="">
      <xdr:nvSpPr>
        <xdr:cNvPr id="32" name="Retângulo: Cantos Arredondados 3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F7F1F6A-717E-45E2-91FF-26C9A0DC0592}"/>
            </a:ext>
          </a:extLst>
        </xdr:cNvPr>
        <xdr:cNvSpPr/>
      </xdr:nvSpPr>
      <xdr:spPr>
        <a:xfrm>
          <a:off x="2575560" y="1196340"/>
          <a:ext cx="891540" cy="198119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VOLTAR</a:t>
          </a:r>
        </a:p>
      </xdr:txBody>
    </xdr:sp>
    <xdr:clientData/>
  </xdr:twoCellAnchor>
  <xdr:twoCellAnchor>
    <xdr:from>
      <xdr:col>2</xdr:col>
      <xdr:colOff>7620</xdr:colOff>
      <xdr:row>4</xdr:row>
      <xdr:rowOff>99060</xdr:rowOff>
    </xdr:from>
    <xdr:to>
      <xdr:col>2</xdr:col>
      <xdr:colOff>899160</xdr:colOff>
      <xdr:row>5</xdr:row>
      <xdr:rowOff>137160</xdr:rowOff>
    </xdr:to>
    <xdr:sp macro="" textlink="">
      <xdr:nvSpPr>
        <xdr:cNvPr id="33" name="Retângulo: Cantos Arredondados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C53DC1-D579-4573-A55A-DB3D15463DC7}"/>
            </a:ext>
          </a:extLst>
        </xdr:cNvPr>
        <xdr:cNvSpPr/>
      </xdr:nvSpPr>
      <xdr:spPr>
        <a:xfrm>
          <a:off x="2583180" y="891540"/>
          <a:ext cx="891540" cy="22098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45720</xdr:rowOff>
    </xdr:from>
    <xdr:to>
      <xdr:col>0</xdr:col>
      <xdr:colOff>1946148</xdr:colOff>
      <xdr:row>23</xdr:row>
      <xdr:rowOff>108124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4A2B044C-2A01-4E04-8C67-9E86AE1DC279}"/>
            </a:ext>
          </a:extLst>
        </xdr:cNvPr>
        <xdr:cNvGrpSpPr/>
      </xdr:nvGrpSpPr>
      <xdr:grpSpPr>
        <a:xfrm>
          <a:off x="0" y="45720"/>
          <a:ext cx="1946148" cy="4329604"/>
          <a:chOff x="0" y="22860"/>
          <a:chExt cx="1946148" cy="4588684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CC616E1C-A3B5-9E96-B108-F1FEC469AD67}"/>
              </a:ext>
            </a:extLst>
          </xdr:cNvPr>
          <xdr:cNvGrpSpPr/>
        </xdr:nvGrpSpPr>
        <xdr:grpSpPr>
          <a:xfrm>
            <a:off x="0" y="2095500"/>
            <a:ext cx="1946148" cy="2516044"/>
            <a:chOff x="488442" y="1714500"/>
            <a:chExt cx="1946148" cy="2516044"/>
          </a:xfrm>
        </xdr:grpSpPr>
        <xdr:sp macro="" textlink="">
          <xdr:nvSpPr>
            <xdr:cNvPr id="21" name="Retângulo 20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46335B9F-4009-84E9-5638-DEB35157D8A8}"/>
                </a:ext>
              </a:extLst>
            </xdr:cNvPr>
            <xdr:cNvSpPr/>
          </xdr:nvSpPr>
          <xdr:spPr>
            <a:xfrm>
              <a:off x="506730" y="1714500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TITULAR</a:t>
              </a:r>
            </a:p>
          </xdr:txBody>
        </xdr:sp>
        <xdr:sp macro="" textlink="">
          <xdr:nvSpPr>
            <xdr:cNvPr id="22" name="Retângulo 21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F6ED7B91-CEBD-9724-16C0-9C6204A05EF6}"/>
                </a:ext>
              </a:extLst>
            </xdr:cNvPr>
            <xdr:cNvSpPr/>
          </xdr:nvSpPr>
          <xdr:spPr>
            <a:xfrm>
              <a:off x="502158" y="2238736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INFORMES</a:t>
              </a:r>
            </a:p>
          </xdr:txBody>
        </xdr:sp>
        <xdr:sp macro="" textlink="">
          <xdr:nvSpPr>
            <xdr:cNvPr id="23" name="Retângulo 22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7682036B-4DFA-0805-9E5E-8AF1619EA376}"/>
                </a:ext>
              </a:extLst>
            </xdr:cNvPr>
            <xdr:cNvSpPr/>
          </xdr:nvSpPr>
          <xdr:spPr>
            <a:xfrm>
              <a:off x="497586" y="2762972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ENTRADAS</a:t>
              </a:r>
            </a:p>
          </xdr:txBody>
        </xdr:sp>
        <xdr:sp macro="" textlink="">
          <xdr:nvSpPr>
            <xdr:cNvPr id="24" name="Retângulo 23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3132B769-50AF-46C2-124A-10D7CBA8DEE8}"/>
                </a:ext>
              </a:extLst>
            </xdr:cNvPr>
            <xdr:cNvSpPr/>
          </xdr:nvSpPr>
          <xdr:spPr>
            <a:xfrm>
              <a:off x="493014" y="3287208"/>
              <a:ext cx="1927860" cy="4191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DEDUÇÕES</a:t>
              </a:r>
            </a:p>
          </xdr:txBody>
        </xdr:sp>
        <xdr:sp macro="" textlink="">
          <xdr:nvSpPr>
            <xdr:cNvPr id="25" name="Retângulo 24">
              <a:extLst>
                <a:ext uri="{FF2B5EF4-FFF2-40B4-BE49-F238E27FC236}">
                  <a16:creationId xmlns:a16="http://schemas.microsoft.com/office/drawing/2014/main" id="{99523280-045A-E230-C81F-35C300D9F06F}"/>
                </a:ext>
              </a:extLst>
            </xdr:cNvPr>
            <xdr:cNvSpPr/>
          </xdr:nvSpPr>
          <xdr:spPr>
            <a:xfrm>
              <a:off x="488442" y="3811444"/>
              <a:ext cx="1927860" cy="41910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>
                  <a:latin typeface="Segoe UI Black" panose="020B0A02040204020203" pitchFamily="34" charset="0"/>
                  <a:ea typeface="Segoe UI Black" panose="020B0A02040204020203" pitchFamily="34" charset="0"/>
                </a:rPr>
                <a:t>RESUMO</a:t>
              </a:r>
              <a:r>
                <a:rPr lang="pt-BR" sz="1600" baseline="0">
                  <a:latin typeface="Segoe UI Black" panose="020B0A02040204020203" pitchFamily="34" charset="0"/>
                  <a:ea typeface="Segoe UI Black" panose="020B0A02040204020203" pitchFamily="34" charset="0"/>
                </a:rPr>
                <a:t> FINAL</a:t>
              </a:r>
              <a:endParaRPr lang="pt-BR" sz="1600">
                <a:latin typeface="Segoe UI Black" panose="020B0A02040204020203" pitchFamily="34" charset="0"/>
                <a:ea typeface="Segoe UI Black" panose="020B0A02040204020203" pitchFamily="34" charset="0"/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7E5094D8-70F4-4301-91E1-5790E199154F}"/>
              </a:ext>
            </a:extLst>
          </xdr:cNvPr>
          <xdr:cNvGrpSpPr/>
        </xdr:nvGrpSpPr>
        <xdr:grpSpPr>
          <a:xfrm>
            <a:off x="396240" y="22860"/>
            <a:ext cx="1482155" cy="1613548"/>
            <a:chOff x="776783" y="0"/>
            <a:chExt cx="1672687" cy="1690561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86807478-AF16-4D36-DC4A-E475E266C3F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>
              <a:duotone>
                <a:schemeClr val="accent1">
                  <a:shade val="45000"/>
                  <a:satMod val="135000"/>
                </a:scheme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9355" t="17742" r="19758" b="18145"/>
            <a:stretch/>
          </xdr:blipFill>
          <xdr:spPr>
            <a:xfrm>
              <a:off x="824555" y="0"/>
              <a:ext cx="1337930" cy="1386486"/>
            </a:xfrm>
            <a:prstGeom prst="rect">
              <a:avLst/>
            </a:prstGeom>
            <a:ln>
              <a:noFill/>
            </a:ln>
          </xdr:spPr>
        </xdr:pic>
        <xdr:sp macro="" textlink="">
          <xdr:nvSpPr>
            <xdr:cNvPr id="20" name="CaixaDeTexto 19">
              <a:extLst>
                <a:ext uri="{FF2B5EF4-FFF2-40B4-BE49-F238E27FC236}">
                  <a16:creationId xmlns:a16="http://schemas.microsoft.com/office/drawing/2014/main" id="{6230A263-96A9-6F86-FA92-96F26D8A9958}"/>
                </a:ext>
              </a:extLst>
            </xdr:cNvPr>
            <xdr:cNvSpPr txBox="1"/>
          </xdr:nvSpPr>
          <xdr:spPr>
            <a:xfrm>
              <a:off x="776783" y="1298831"/>
              <a:ext cx="1672687" cy="39173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4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800" b="0" cap="none" spc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Impact" panose="020B0806030902050204" pitchFamily="34" charset="0"/>
                  <a:ea typeface="Segoe UI Black" panose="020B0A02040204020203" pitchFamily="34" charset="0"/>
                </a:rPr>
                <a:t>LION APP - IR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6</xdr:row>
      <xdr:rowOff>15241</xdr:rowOff>
    </xdr:from>
    <xdr:to>
      <xdr:col>2</xdr:col>
      <xdr:colOff>891540</xdr:colOff>
      <xdr:row>7</xdr:row>
      <xdr:rowOff>45720</xdr:rowOff>
    </xdr:to>
    <xdr:sp macro="" textlink="">
      <xdr:nvSpPr>
        <xdr:cNvPr id="26" name="Retângulo: Cantos Arredondados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8F2C3D-9896-4EC9-A05F-311495B1C54A}"/>
            </a:ext>
          </a:extLst>
        </xdr:cNvPr>
        <xdr:cNvSpPr/>
      </xdr:nvSpPr>
      <xdr:spPr>
        <a:xfrm>
          <a:off x="2575560" y="1173481"/>
          <a:ext cx="891540" cy="213359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VOLTAR</a:t>
          </a:r>
        </a:p>
      </xdr:txBody>
    </xdr:sp>
    <xdr:clientData/>
  </xdr:twoCellAnchor>
  <xdr:twoCellAnchor>
    <xdr:from>
      <xdr:col>2</xdr:col>
      <xdr:colOff>0</xdr:colOff>
      <xdr:row>4</xdr:row>
      <xdr:rowOff>121920</xdr:rowOff>
    </xdr:from>
    <xdr:to>
      <xdr:col>2</xdr:col>
      <xdr:colOff>891540</xdr:colOff>
      <xdr:row>5</xdr:row>
      <xdr:rowOff>152400</xdr:rowOff>
    </xdr:to>
    <xdr:sp macro="" textlink="">
      <xdr:nvSpPr>
        <xdr:cNvPr id="27" name="Retângulo: Cantos Arredondado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371EE9-B646-4EC9-B8CC-54911003C778}"/>
            </a:ext>
          </a:extLst>
        </xdr:cNvPr>
        <xdr:cNvSpPr/>
      </xdr:nvSpPr>
      <xdr:spPr>
        <a:xfrm>
          <a:off x="2575560" y="914400"/>
          <a:ext cx="891540" cy="21336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INICIO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26C66D-E1E3-453B-ADE6-6C2087F0A57D}" name="Tabela1" displayName="Tabela1" ref="C10:E29" totalsRowShown="0" headerRowDxfId="11" dataDxfId="6">
  <autoFilter ref="C10:E29" xr:uid="{6D26C66D-E1E3-453B-ADE6-6C2087F0A57D}"/>
  <tableColumns count="3">
    <tableColumn id="1" xr3:uid="{C17A299C-A083-4F16-929C-0BB451928D49}" name="DATA" dataDxfId="9"/>
    <tableColumn id="2" xr3:uid="{C1B61856-D3ED-42E9-9967-5ACC39077459}" name="CATEGORIA" dataDxfId="8"/>
    <tableColumn id="3" xr3:uid="{35E1F873-DFE1-48A9-8DEC-8E28022F996C}" name="VALOR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661E97-96FB-45AE-943E-F10EBA01C722}" name="Tabela14" displayName="Tabela14" ref="C9:G28" totalsRowShown="0" headerRowDxfId="10" dataDxfId="0">
  <autoFilter ref="C9:G28" xr:uid="{6D26C66D-E1E3-453B-ADE6-6C2087F0A57D}"/>
  <tableColumns count="5">
    <tableColumn id="1" xr3:uid="{63DE4C06-9B23-40BF-9439-13E640D0D5B3}" name="DATA" dataDxfId="5"/>
    <tableColumn id="2" xr3:uid="{36BF98F3-A2D0-473E-9151-07598CABCC1E}" name="CATEGORIA" dataDxfId="4"/>
    <tableColumn id="3" xr3:uid="{9EBB149E-E76C-481A-B61B-4E50C47C8C16}" name="BENEFICIÁRIO" dataDxfId="3"/>
    <tableColumn id="4" xr3:uid="{1011F253-22BC-40AF-A6DA-A47FF472B4E8}" name="CPF/CNPJ" dataDxfId="2"/>
    <tableColumn id="5" xr3:uid="{0FDAC04B-732A-4C4C-9B36-04C86193FDD6}" name="VALOR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ULAN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DC43-745D-4224-8650-AF11C2BC43D1}">
  <sheetPr codeName="Planilha1"/>
  <dimension ref="A1:D60"/>
  <sheetViews>
    <sheetView showGridLines="0" showRowColHeaders="0" tabSelected="1" zoomScaleNormal="100" workbookViewId="0">
      <selection activeCell="D13" sqref="D13"/>
    </sheetView>
  </sheetViews>
  <sheetFormatPr defaultRowHeight="14.4" x14ac:dyDescent="0.3"/>
  <cols>
    <col min="1" max="1" width="28.6640625" customWidth="1"/>
    <col min="3" max="3" width="39.5546875" bestFit="1" customWidth="1"/>
    <col min="4" max="4" width="33.77734375" customWidth="1"/>
  </cols>
  <sheetData>
    <row r="1" spans="1:4" x14ac:dyDescent="0.3">
      <c r="A1" s="1"/>
    </row>
    <row r="2" spans="1:4" x14ac:dyDescent="0.3">
      <c r="A2" s="1"/>
    </row>
    <row r="3" spans="1:4" ht="18.600000000000001" thickBot="1" x14ac:dyDescent="0.4">
      <c r="A3" s="1"/>
      <c r="C3" s="5" t="s">
        <v>13</v>
      </c>
      <c r="D3" s="3"/>
    </row>
    <row r="4" spans="1:4" ht="15" thickTop="1" x14ac:dyDescent="0.3">
      <c r="A4" s="1"/>
      <c r="C4" s="6" t="s">
        <v>141</v>
      </c>
      <c r="D4" s="4"/>
    </row>
    <row r="5" spans="1:4" x14ac:dyDescent="0.3">
      <c r="A5" s="1"/>
      <c r="C5" s="17"/>
      <c r="D5" s="18"/>
    </row>
    <row r="6" spans="1:4" x14ac:dyDescent="0.3">
      <c r="A6" s="2"/>
      <c r="C6" s="19" t="s">
        <v>0</v>
      </c>
      <c r="D6" s="42" t="s">
        <v>14</v>
      </c>
    </row>
    <row r="7" spans="1:4" x14ac:dyDescent="0.3">
      <c r="A7" s="1"/>
      <c r="C7" s="19" t="s">
        <v>1</v>
      </c>
      <c r="D7" s="43">
        <v>12345678900</v>
      </c>
    </row>
    <row r="8" spans="1:4" x14ac:dyDescent="0.3">
      <c r="A8" s="1"/>
      <c r="C8" s="19" t="s">
        <v>2</v>
      </c>
      <c r="D8" s="44">
        <v>1</v>
      </c>
    </row>
    <row r="9" spans="1:4" x14ac:dyDescent="0.3">
      <c r="A9" s="1"/>
      <c r="C9" s="19" t="s">
        <v>3</v>
      </c>
      <c r="D9" s="45">
        <v>123456789</v>
      </c>
    </row>
    <row r="10" spans="1:4" x14ac:dyDescent="0.3">
      <c r="A10" s="1"/>
      <c r="C10" s="19" t="s">
        <v>4</v>
      </c>
      <c r="D10" s="42" t="s">
        <v>15</v>
      </c>
    </row>
    <row r="11" spans="1:4" x14ac:dyDescent="0.3">
      <c r="A11" s="1"/>
      <c r="C11" s="19" t="s">
        <v>11</v>
      </c>
      <c r="D11" s="45" t="s">
        <v>16</v>
      </c>
    </row>
    <row r="12" spans="1:4" x14ac:dyDescent="0.3">
      <c r="A12" s="1"/>
      <c r="C12" s="19" t="s">
        <v>5</v>
      </c>
      <c r="D12" s="46">
        <v>987654000</v>
      </c>
    </row>
    <row r="13" spans="1:4" x14ac:dyDescent="0.3">
      <c r="A13" s="1"/>
      <c r="C13" s="19" t="s">
        <v>6</v>
      </c>
      <c r="D13" s="47">
        <v>8591234567</v>
      </c>
    </row>
    <row r="14" spans="1:4" x14ac:dyDescent="0.3">
      <c r="A14" s="1"/>
      <c r="C14" s="19" t="s">
        <v>7</v>
      </c>
      <c r="D14" s="48">
        <v>85912345678</v>
      </c>
    </row>
    <row r="15" spans="1:4" x14ac:dyDescent="0.3">
      <c r="A15" s="1"/>
      <c r="C15" s="19" t="s">
        <v>8</v>
      </c>
      <c r="D15" s="49" t="s">
        <v>17</v>
      </c>
    </row>
    <row r="16" spans="1:4" x14ac:dyDescent="0.3">
      <c r="A16" s="1"/>
      <c r="C16" s="19" t="s">
        <v>12</v>
      </c>
      <c r="D16" s="45" t="s">
        <v>18</v>
      </c>
    </row>
    <row r="17" spans="1:4" x14ac:dyDescent="0.3">
      <c r="A17" s="1"/>
      <c r="C17" s="19" t="s">
        <v>9</v>
      </c>
      <c r="D17" s="45" t="s">
        <v>19</v>
      </c>
    </row>
    <row r="18" spans="1:4" x14ac:dyDescent="0.3">
      <c r="A18" s="1"/>
      <c r="C18" s="19" t="s">
        <v>10</v>
      </c>
      <c r="D18" s="45" t="s">
        <v>19</v>
      </c>
    </row>
    <row r="19" spans="1:4" x14ac:dyDescent="0.3">
      <c r="A19" s="1"/>
      <c r="C19" s="19" t="s">
        <v>86</v>
      </c>
      <c r="D19" s="50" t="s">
        <v>91</v>
      </c>
    </row>
    <row r="20" spans="1:4" x14ac:dyDescent="0.3">
      <c r="A20" s="1"/>
      <c r="C20" s="19" t="s">
        <v>87</v>
      </c>
      <c r="D20" s="50" t="s">
        <v>105</v>
      </c>
    </row>
    <row r="21" spans="1:4" x14ac:dyDescent="0.3">
      <c r="A21" s="1"/>
      <c r="C21" s="19" t="s">
        <v>88</v>
      </c>
      <c r="D21" s="50" t="s">
        <v>29</v>
      </c>
    </row>
    <row r="22" spans="1:4" x14ac:dyDescent="0.3">
      <c r="A22" s="1"/>
      <c r="C22" s="19" t="s">
        <v>89</v>
      </c>
      <c r="D22" s="50" t="s">
        <v>138</v>
      </c>
    </row>
    <row r="23" spans="1:4" x14ac:dyDescent="0.3">
      <c r="A23" s="1"/>
      <c r="C23" s="19" t="s">
        <v>104</v>
      </c>
      <c r="D23" s="43">
        <v>12345678900</v>
      </c>
    </row>
    <row r="24" spans="1:4" x14ac:dyDescent="0.3">
      <c r="A24" s="1"/>
    </row>
    <row r="25" spans="1:4" x14ac:dyDescent="0.3">
      <c r="A25" s="1"/>
    </row>
    <row r="26" spans="1:4" x14ac:dyDescent="0.3">
      <c r="A26" s="1"/>
    </row>
    <row r="27" spans="1:4" x14ac:dyDescent="0.3">
      <c r="A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</sheetData>
  <sheetProtection sheet="1" objects="1" scenarios="1" selectLockedCells="1"/>
  <dataValidations count="1">
    <dataValidation type="list" allowBlank="1" showInputMessage="1" showErrorMessage="1" sqref="D16:D18" xr:uid="{C6A17C95-CC47-4266-818D-D9DE37296C30}">
      <formula1>"SIM, NÃO"</formula1>
    </dataValidation>
  </dataValidations>
  <hyperlinks>
    <hyperlink ref="D15" r:id="rId1" xr:uid="{632F2FAB-AD18-4931-8B8F-958D43BAF2B7}"/>
  </hyperlink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8B0885A-45FC-41D8-AF2D-2D1F73A7847C}">
          <x14:formula1>
            <xm:f>AUXILIAR!$A$2:$A$51</xm:f>
          </x14:formula1>
          <xm:sqref>D21</xm:sqref>
        </x14:dataValidation>
        <x14:dataValidation type="list" allowBlank="1" showInputMessage="1" showErrorMessage="1" xr:uid="{828B6F96-DF58-4241-8D4B-2F57DD31165B}">
          <x14:formula1>
            <xm:f>AUXILIAR!$C$2:$C$14</xm:f>
          </x14:formula1>
          <xm:sqref>D19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E30C-30D5-44C1-99DB-93FAF2F7364F}">
  <sheetPr codeName="Planilha2"/>
  <dimension ref="A1:D56"/>
  <sheetViews>
    <sheetView showGridLines="0" showRowColHeaders="0" zoomScaleNormal="100" workbookViewId="0">
      <selection activeCell="D10" sqref="D10"/>
    </sheetView>
  </sheetViews>
  <sheetFormatPr defaultRowHeight="14.4" x14ac:dyDescent="0.3"/>
  <cols>
    <col min="1" max="1" width="28.6640625" customWidth="1"/>
    <col min="3" max="3" width="39.5546875" bestFit="1" customWidth="1"/>
    <col min="4" max="4" width="33.77734375" bestFit="1" customWidth="1"/>
  </cols>
  <sheetData>
    <row r="1" spans="1:4" x14ac:dyDescent="0.3">
      <c r="A1" s="1"/>
    </row>
    <row r="2" spans="1:4" x14ac:dyDescent="0.3">
      <c r="A2" s="1"/>
    </row>
    <row r="3" spans="1:4" ht="18.600000000000001" thickBot="1" x14ac:dyDescent="0.4">
      <c r="A3" s="1"/>
      <c r="C3" s="5" t="s">
        <v>20</v>
      </c>
      <c r="D3" s="3"/>
    </row>
    <row r="4" spans="1:4" ht="15" thickTop="1" x14ac:dyDescent="0.3">
      <c r="A4" s="1"/>
      <c r="C4" s="6" t="s">
        <v>142</v>
      </c>
      <c r="D4" s="4"/>
    </row>
    <row r="5" spans="1:4" x14ac:dyDescent="0.3">
      <c r="A5" s="1"/>
    </row>
    <row r="6" spans="1:4" s="7" customFormat="1" x14ac:dyDescent="0.3">
      <c r="A6" s="1"/>
      <c r="C6" s="11" t="s">
        <v>82</v>
      </c>
      <c r="D6" s="12">
        <f>D11+D16+D21</f>
        <v>384123</v>
      </c>
    </row>
    <row r="7" spans="1:4" s="7" customFormat="1" x14ac:dyDescent="0.3">
      <c r="A7" s="1"/>
    </row>
    <row r="8" spans="1:4" x14ac:dyDescent="0.3">
      <c r="A8" s="2"/>
    </row>
    <row r="9" spans="1:4" x14ac:dyDescent="0.3">
      <c r="A9" s="1"/>
      <c r="C9" s="10" t="s">
        <v>76</v>
      </c>
    </row>
    <row r="10" spans="1:4" x14ac:dyDescent="0.3">
      <c r="A10" s="1"/>
      <c r="C10" s="9" t="s">
        <v>21</v>
      </c>
      <c r="D10" s="51" t="s">
        <v>46</v>
      </c>
    </row>
    <row r="11" spans="1:4" x14ac:dyDescent="0.3">
      <c r="A11" s="1"/>
      <c r="C11" s="9" t="s">
        <v>23</v>
      </c>
      <c r="D11" s="52">
        <v>354123</v>
      </c>
    </row>
    <row r="12" spans="1:4" x14ac:dyDescent="0.3">
      <c r="A12" s="1"/>
      <c r="C12" s="9" t="s">
        <v>24</v>
      </c>
      <c r="D12" s="53" t="s">
        <v>79</v>
      </c>
    </row>
    <row r="13" spans="1:4" x14ac:dyDescent="0.3">
      <c r="A13" s="1"/>
    </row>
    <row r="14" spans="1:4" x14ac:dyDescent="0.3">
      <c r="A14" s="1"/>
      <c r="C14" s="10" t="s">
        <v>77</v>
      </c>
      <c r="D14" s="7"/>
    </row>
    <row r="15" spans="1:4" x14ac:dyDescent="0.3">
      <c r="A15" s="1"/>
      <c r="C15" s="9" t="s">
        <v>21</v>
      </c>
      <c r="D15" s="51" t="s">
        <v>44</v>
      </c>
    </row>
    <row r="16" spans="1:4" x14ac:dyDescent="0.3">
      <c r="A16" s="1"/>
      <c r="C16" s="9" t="s">
        <v>23</v>
      </c>
      <c r="D16" s="52">
        <v>20000</v>
      </c>
    </row>
    <row r="17" spans="1:4" x14ac:dyDescent="0.3">
      <c r="A17" s="1"/>
      <c r="C17" s="9" t="s">
        <v>24</v>
      </c>
      <c r="D17" s="53" t="s">
        <v>80</v>
      </c>
    </row>
    <row r="18" spans="1:4" x14ac:dyDescent="0.3">
      <c r="A18" s="1"/>
    </row>
    <row r="19" spans="1:4" x14ac:dyDescent="0.3">
      <c r="A19" s="1"/>
      <c r="C19" s="10" t="s">
        <v>78</v>
      </c>
      <c r="D19" s="7"/>
    </row>
    <row r="20" spans="1:4" x14ac:dyDescent="0.3">
      <c r="A20" s="1"/>
      <c r="C20" s="9" t="s">
        <v>21</v>
      </c>
      <c r="D20" s="51" t="s">
        <v>48</v>
      </c>
    </row>
    <row r="21" spans="1:4" x14ac:dyDescent="0.3">
      <c r="A21" s="1"/>
      <c r="C21" s="9" t="s">
        <v>23</v>
      </c>
      <c r="D21" s="52">
        <v>10000</v>
      </c>
    </row>
    <row r="22" spans="1:4" x14ac:dyDescent="0.3">
      <c r="A22" s="1"/>
      <c r="C22" s="9" t="s">
        <v>24</v>
      </c>
      <c r="D22" s="53" t="s">
        <v>81</v>
      </c>
    </row>
    <row r="23" spans="1:4" x14ac:dyDescent="0.3">
      <c r="A23" s="1"/>
    </row>
    <row r="24" spans="1:4" x14ac:dyDescent="0.3">
      <c r="A24" s="1"/>
    </row>
    <row r="25" spans="1:4" x14ac:dyDescent="0.3">
      <c r="A25" s="1"/>
    </row>
    <row r="26" spans="1:4" x14ac:dyDescent="0.3">
      <c r="A26" s="1"/>
    </row>
    <row r="27" spans="1:4" x14ac:dyDescent="0.3">
      <c r="A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cadastrado na base" promptTitle="escolha um banco da lista" xr:uid="{52E9A9F7-F453-4E2E-BDD2-AEFA9EF136FB}">
          <x14:formula1>
            <xm:f>AUXILIAR!$A$2:$A$51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A9F5-F72D-4805-B7D9-10582EECE212}">
  <sheetPr codeName="Planilha3"/>
  <dimension ref="A1:E55"/>
  <sheetViews>
    <sheetView showGridLines="0" showRowColHeaders="0" zoomScaleNormal="100" workbookViewId="0">
      <selection activeCell="C11" sqref="C11"/>
    </sheetView>
  </sheetViews>
  <sheetFormatPr defaultRowHeight="14.4" x14ac:dyDescent="0.3"/>
  <cols>
    <col min="1" max="1" width="28.6640625" customWidth="1"/>
    <col min="3" max="5" width="25.77734375" customWidth="1"/>
    <col min="7" max="7" width="9.6640625" bestFit="1" customWidth="1"/>
    <col min="8" max="8" width="6.77734375" bestFit="1" customWidth="1"/>
  </cols>
  <sheetData>
    <row r="1" spans="1:5" x14ac:dyDescent="0.3">
      <c r="A1" s="1"/>
    </row>
    <row r="2" spans="1:5" x14ac:dyDescent="0.3">
      <c r="A2" s="1"/>
    </row>
    <row r="3" spans="1:5" ht="18.600000000000001" thickBot="1" x14ac:dyDescent="0.4">
      <c r="A3" s="1"/>
      <c r="C3" s="5" t="s">
        <v>118</v>
      </c>
      <c r="D3" s="3"/>
      <c r="E3" s="3"/>
    </row>
    <row r="4" spans="1:5" ht="15" thickTop="1" x14ac:dyDescent="0.3">
      <c r="A4" s="1"/>
      <c r="C4" s="6" t="s">
        <v>143</v>
      </c>
      <c r="D4" s="4"/>
      <c r="E4" s="4"/>
    </row>
    <row r="5" spans="1:5" s="7" customFormat="1" x14ac:dyDescent="0.3">
      <c r="A5" s="1"/>
      <c r="C5" s="28"/>
      <c r="D5" s="29"/>
      <c r="E5" s="29"/>
    </row>
    <row r="6" spans="1:5" x14ac:dyDescent="0.3">
      <c r="A6" s="1"/>
      <c r="D6" s="30" t="s">
        <v>110</v>
      </c>
      <c r="E6" s="31">
        <f>SUMIF(Tabela1[CATEGORIA],AUXILIAR!$E$2,Tabela1[VALOR])+SUMIF(Tabela1[CATEGORIA],AUXILIAR!$E$3,Tabela1[VALOR])+SUMIF(Tabela1[CATEGORIA],AUXILIAR!$E$4,Tabela1[VALOR])</f>
        <v>9000</v>
      </c>
    </row>
    <row r="7" spans="1:5" x14ac:dyDescent="0.3">
      <c r="A7" s="2"/>
      <c r="D7" s="30" t="s">
        <v>111</v>
      </c>
      <c r="E7" s="31">
        <f>SUMIF(Tabela1[CATEGORIA],AUXILIAR!$E$5,Tabela1[VALOR])+SUMIF(Tabela1[CATEGORIA],AUXILIAR!$E$6,Tabela1[VALOR])+SUMIF(Tabela1[CATEGORIA],AUXILIAR!$E$7,Tabela1[VALOR])</f>
        <v>6540</v>
      </c>
    </row>
    <row r="8" spans="1:5" ht="15" thickBot="1" x14ac:dyDescent="0.35">
      <c r="A8" s="1"/>
    </row>
    <row r="9" spans="1:5" ht="15" thickBot="1" x14ac:dyDescent="0.35">
      <c r="A9" s="1"/>
      <c r="C9" s="39" t="s">
        <v>83</v>
      </c>
      <c r="D9" s="40"/>
      <c r="E9" s="41"/>
    </row>
    <row r="10" spans="1:5" x14ac:dyDescent="0.3">
      <c r="A10" s="1"/>
      <c r="C10" s="13" t="s">
        <v>84</v>
      </c>
      <c r="D10" s="13" t="s">
        <v>85</v>
      </c>
      <c r="E10" s="14" t="s">
        <v>22</v>
      </c>
    </row>
    <row r="11" spans="1:5" x14ac:dyDescent="0.3">
      <c r="A11" s="1"/>
      <c r="C11" s="54">
        <v>46052</v>
      </c>
      <c r="D11" s="55" t="s">
        <v>109</v>
      </c>
      <c r="E11" s="56">
        <v>5500</v>
      </c>
    </row>
    <row r="12" spans="1:5" x14ac:dyDescent="0.3">
      <c r="A12" s="1"/>
      <c r="C12" s="54">
        <v>46053</v>
      </c>
      <c r="D12" s="55" t="s">
        <v>106</v>
      </c>
      <c r="E12" s="56">
        <v>1500</v>
      </c>
    </row>
    <row r="13" spans="1:5" x14ac:dyDescent="0.3">
      <c r="A13" s="1"/>
      <c r="C13" s="54">
        <v>46054</v>
      </c>
      <c r="D13" s="55" t="s">
        <v>107</v>
      </c>
      <c r="E13" s="56">
        <v>2000</v>
      </c>
    </row>
    <row r="14" spans="1:5" x14ac:dyDescent="0.3">
      <c r="A14" s="1"/>
      <c r="C14" s="54">
        <v>46082</v>
      </c>
      <c r="D14" s="55" t="s">
        <v>136</v>
      </c>
      <c r="E14" s="56">
        <v>4000</v>
      </c>
    </row>
    <row r="15" spans="1:5" x14ac:dyDescent="0.3">
      <c r="A15" s="1"/>
      <c r="C15" s="54">
        <v>46113</v>
      </c>
      <c r="D15" s="55" t="s">
        <v>136</v>
      </c>
      <c r="E15" s="56">
        <v>2540</v>
      </c>
    </row>
    <row r="16" spans="1:5" x14ac:dyDescent="0.3">
      <c r="A16" s="1"/>
      <c r="C16" s="54"/>
      <c r="D16" s="55"/>
      <c r="E16" s="56"/>
    </row>
    <row r="17" spans="1:5" x14ac:dyDescent="0.3">
      <c r="A17" s="1"/>
      <c r="C17" s="54"/>
      <c r="D17" s="55"/>
      <c r="E17" s="56"/>
    </row>
    <row r="18" spans="1:5" x14ac:dyDescent="0.3">
      <c r="A18" s="1"/>
      <c r="C18" s="54"/>
      <c r="D18" s="55"/>
      <c r="E18" s="56"/>
    </row>
    <row r="19" spans="1:5" x14ac:dyDescent="0.3">
      <c r="A19" s="1"/>
      <c r="C19" s="54"/>
      <c r="D19" s="55"/>
      <c r="E19" s="56"/>
    </row>
    <row r="20" spans="1:5" x14ac:dyDescent="0.3">
      <c r="A20" s="1"/>
      <c r="C20" s="54"/>
      <c r="D20" s="55"/>
      <c r="E20" s="56"/>
    </row>
    <row r="21" spans="1:5" x14ac:dyDescent="0.3">
      <c r="A21" s="1"/>
      <c r="C21" s="54"/>
      <c r="D21" s="55"/>
      <c r="E21" s="56"/>
    </row>
    <row r="22" spans="1:5" x14ac:dyDescent="0.3">
      <c r="A22" s="1"/>
      <c r="C22" s="54"/>
      <c r="D22" s="55"/>
      <c r="E22" s="56"/>
    </row>
    <row r="23" spans="1:5" x14ac:dyDescent="0.3">
      <c r="A23" s="1"/>
      <c r="C23" s="54"/>
      <c r="D23" s="55"/>
      <c r="E23" s="56"/>
    </row>
    <row r="24" spans="1:5" x14ac:dyDescent="0.3">
      <c r="A24" s="1"/>
      <c r="C24" s="54"/>
      <c r="D24" s="55"/>
      <c r="E24" s="56"/>
    </row>
    <row r="25" spans="1:5" x14ac:dyDescent="0.3">
      <c r="A25" s="1"/>
      <c r="C25" s="54"/>
      <c r="D25" s="55"/>
      <c r="E25" s="56"/>
    </row>
    <row r="26" spans="1:5" x14ac:dyDescent="0.3">
      <c r="A26" s="1"/>
      <c r="C26" s="54"/>
      <c r="D26" s="55"/>
      <c r="E26" s="56"/>
    </row>
    <row r="27" spans="1:5" x14ac:dyDescent="0.3">
      <c r="A27" s="1"/>
      <c r="C27" s="54"/>
      <c r="D27" s="55"/>
      <c r="E27" s="56"/>
    </row>
    <row r="28" spans="1:5" x14ac:dyDescent="0.3">
      <c r="A28" s="1"/>
      <c r="C28" s="54"/>
      <c r="D28" s="55"/>
      <c r="E28" s="56"/>
    </row>
    <row r="29" spans="1:5" x14ac:dyDescent="0.3">
      <c r="A29" s="1"/>
      <c r="C29" s="54"/>
      <c r="D29" s="55"/>
      <c r="E29" s="56"/>
    </row>
    <row r="30" spans="1:5" x14ac:dyDescent="0.3">
      <c r="A30" s="1"/>
    </row>
    <row r="31" spans="1:5" x14ac:dyDescent="0.3">
      <c r="A31" s="1"/>
    </row>
    <row r="32" spans="1:5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</sheetData>
  <sheetProtection sheet="1" objects="1" scenarios="1" selectLockedCells="1"/>
  <mergeCells count="1">
    <mergeCell ref="C9:E9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DA8F26-714D-467C-A88D-0E24E6DFE369}">
          <x14:formula1>
            <xm:f>AUXILIAR!$E$2:$E$6</xm:f>
          </x14:formula1>
          <xm:sqref>D11:D29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CD4F-4437-4568-94AC-B229E072D75F}">
  <sheetPr codeName="Planilha4"/>
  <dimension ref="A1:G55"/>
  <sheetViews>
    <sheetView showGridLines="0" showRowColHeaders="0" zoomScaleNormal="100" workbookViewId="0">
      <selection activeCell="C18" sqref="C18"/>
    </sheetView>
  </sheetViews>
  <sheetFormatPr defaultRowHeight="14.4" x14ac:dyDescent="0.3"/>
  <cols>
    <col min="1" max="1" width="28.6640625" style="7" customWidth="1"/>
    <col min="2" max="2" width="8.88671875" style="7"/>
    <col min="3" max="5" width="25.77734375" style="7" customWidth="1"/>
    <col min="6" max="6" width="20" style="7" bestFit="1" customWidth="1"/>
    <col min="7" max="7" width="15.6640625" style="7" customWidth="1"/>
    <col min="8" max="8" width="6.77734375" style="7" bestFit="1" customWidth="1"/>
    <col min="9" max="16384" width="8.88671875" style="7"/>
  </cols>
  <sheetData>
    <row r="1" spans="1:7" x14ac:dyDescent="0.3">
      <c r="A1" s="1"/>
    </row>
    <row r="2" spans="1:7" x14ac:dyDescent="0.3">
      <c r="A2" s="1"/>
    </row>
    <row r="3" spans="1:7" ht="18.600000000000001" thickBot="1" x14ac:dyDescent="0.4">
      <c r="A3" s="1"/>
      <c r="C3" s="5" t="s">
        <v>119</v>
      </c>
      <c r="D3" s="5"/>
      <c r="E3" s="5"/>
      <c r="F3" s="5"/>
      <c r="G3" s="5"/>
    </row>
    <row r="4" spans="1:7" ht="15" thickTop="1" x14ac:dyDescent="0.3">
      <c r="A4" s="1"/>
      <c r="C4" s="6" t="s">
        <v>120</v>
      </c>
      <c r="D4" s="4"/>
      <c r="E4" s="4"/>
      <c r="F4" s="4"/>
      <c r="G4" s="4"/>
    </row>
    <row r="5" spans="1:7" x14ac:dyDescent="0.3">
      <c r="A5" s="1"/>
    </row>
    <row r="6" spans="1:7" x14ac:dyDescent="0.3">
      <c r="A6" s="2"/>
      <c r="D6" s="30" t="s">
        <v>137</v>
      </c>
      <c r="E6" s="31">
        <f>SUM(Tabela14[VALOR])</f>
        <v>1200</v>
      </c>
    </row>
    <row r="7" spans="1:7" x14ac:dyDescent="0.3">
      <c r="A7" s="2"/>
    </row>
    <row r="8" spans="1:7" x14ac:dyDescent="0.3">
      <c r="A8" s="1"/>
    </row>
    <row r="9" spans="1:7" x14ac:dyDescent="0.3">
      <c r="A9" s="1"/>
      <c r="C9" s="13" t="s">
        <v>84</v>
      </c>
      <c r="D9" s="13" t="s">
        <v>85</v>
      </c>
      <c r="E9" s="14" t="s">
        <v>121</v>
      </c>
      <c r="F9" s="13" t="s">
        <v>122</v>
      </c>
      <c r="G9" s="13" t="s">
        <v>22</v>
      </c>
    </row>
    <row r="10" spans="1:7" x14ac:dyDescent="0.3">
      <c r="A10" s="1"/>
      <c r="C10" s="54">
        <v>46052</v>
      </c>
      <c r="D10" s="55" t="s">
        <v>117</v>
      </c>
      <c r="E10" s="57" t="s">
        <v>123</v>
      </c>
      <c r="F10" s="58">
        <v>12345678900</v>
      </c>
      <c r="G10" s="56">
        <v>700</v>
      </c>
    </row>
    <row r="11" spans="1:7" x14ac:dyDescent="0.3">
      <c r="A11" s="1"/>
      <c r="C11" s="54">
        <v>46023</v>
      </c>
      <c r="D11" s="55" t="s">
        <v>114</v>
      </c>
      <c r="E11" s="57" t="s">
        <v>123</v>
      </c>
      <c r="F11" s="59">
        <v>12345678900</v>
      </c>
      <c r="G11" s="56">
        <v>500</v>
      </c>
    </row>
    <row r="12" spans="1:7" x14ac:dyDescent="0.3">
      <c r="A12" s="1"/>
      <c r="C12" s="54"/>
      <c r="D12" s="55"/>
      <c r="E12" s="57"/>
      <c r="F12" s="59"/>
      <c r="G12" s="56"/>
    </row>
    <row r="13" spans="1:7" x14ac:dyDescent="0.3">
      <c r="A13" s="1"/>
      <c r="C13" s="54"/>
      <c r="D13" s="55"/>
      <c r="E13" s="57"/>
      <c r="F13" s="59"/>
      <c r="G13" s="56"/>
    </row>
    <row r="14" spans="1:7" x14ac:dyDescent="0.3">
      <c r="A14" s="1"/>
      <c r="C14" s="54"/>
      <c r="D14" s="55"/>
      <c r="E14" s="57"/>
      <c r="F14" s="59"/>
      <c r="G14" s="56"/>
    </row>
    <row r="15" spans="1:7" x14ac:dyDescent="0.3">
      <c r="A15" s="1"/>
      <c r="C15" s="54"/>
      <c r="D15" s="55"/>
      <c r="E15" s="57"/>
      <c r="F15" s="59"/>
      <c r="G15" s="56"/>
    </row>
    <row r="16" spans="1:7" x14ac:dyDescent="0.3">
      <c r="A16" s="1"/>
      <c r="C16" s="54"/>
      <c r="D16" s="55"/>
      <c r="E16" s="57"/>
      <c r="F16" s="59"/>
      <c r="G16" s="56"/>
    </row>
    <row r="17" spans="1:7" x14ac:dyDescent="0.3">
      <c r="A17" s="1"/>
      <c r="C17" s="54"/>
      <c r="D17" s="55"/>
      <c r="E17" s="57"/>
      <c r="F17" s="59"/>
      <c r="G17" s="56"/>
    </row>
    <row r="18" spans="1:7" x14ac:dyDescent="0.3">
      <c r="A18" s="1"/>
      <c r="C18" s="54"/>
      <c r="D18" s="55"/>
      <c r="E18" s="57"/>
      <c r="F18" s="59"/>
      <c r="G18" s="56"/>
    </row>
    <row r="19" spans="1:7" x14ac:dyDescent="0.3">
      <c r="A19" s="1"/>
      <c r="C19" s="54"/>
      <c r="D19" s="55"/>
      <c r="E19" s="57"/>
      <c r="F19" s="59"/>
      <c r="G19" s="56"/>
    </row>
    <row r="20" spans="1:7" x14ac:dyDescent="0.3">
      <c r="A20" s="1"/>
      <c r="C20" s="54"/>
      <c r="D20" s="55"/>
      <c r="E20" s="57"/>
      <c r="F20" s="59"/>
      <c r="G20" s="56"/>
    </row>
    <row r="21" spans="1:7" x14ac:dyDescent="0.3">
      <c r="A21" s="1"/>
      <c r="C21" s="54"/>
      <c r="D21" s="55"/>
      <c r="E21" s="57"/>
      <c r="F21" s="59"/>
      <c r="G21" s="56"/>
    </row>
    <row r="22" spans="1:7" x14ac:dyDescent="0.3">
      <c r="A22" s="1"/>
      <c r="C22" s="54"/>
      <c r="D22" s="55"/>
      <c r="E22" s="57"/>
      <c r="F22" s="59"/>
      <c r="G22" s="56"/>
    </row>
    <row r="23" spans="1:7" x14ac:dyDescent="0.3">
      <c r="A23" s="1"/>
      <c r="C23" s="54"/>
      <c r="D23" s="55"/>
      <c r="E23" s="57"/>
      <c r="F23" s="59"/>
      <c r="G23" s="56"/>
    </row>
    <row r="24" spans="1:7" x14ac:dyDescent="0.3">
      <c r="A24" s="1"/>
      <c r="C24" s="54"/>
      <c r="D24" s="55"/>
      <c r="E24" s="57"/>
      <c r="F24" s="59"/>
      <c r="G24" s="56"/>
    </row>
    <row r="25" spans="1:7" x14ac:dyDescent="0.3">
      <c r="A25" s="1"/>
      <c r="C25" s="54"/>
      <c r="D25" s="55"/>
      <c r="E25" s="57"/>
      <c r="F25" s="59"/>
      <c r="G25" s="56"/>
    </row>
    <row r="26" spans="1:7" x14ac:dyDescent="0.3">
      <c r="A26" s="1"/>
      <c r="C26" s="54"/>
      <c r="D26" s="55"/>
      <c r="E26" s="57"/>
      <c r="F26" s="59"/>
      <c r="G26" s="56"/>
    </row>
    <row r="27" spans="1:7" x14ac:dyDescent="0.3">
      <c r="A27" s="1"/>
      <c r="C27" s="54"/>
      <c r="D27" s="55"/>
      <c r="E27" s="57"/>
      <c r="F27" s="59"/>
      <c r="G27" s="56"/>
    </row>
    <row r="28" spans="1:7" x14ac:dyDescent="0.3">
      <c r="A28" s="1"/>
      <c r="C28" s="54"/>
      <c r="D28" s="55"/>
      <c r="E28" s="57"/>
      <c r="F28" s="59"/>
      <c r="G28" s="56"/>
    </row>
    <row r="29" spans="1:7" x14ac:dyDescent="0.3">
      <c r="A29" s="1"/>
    </row>
    <row r="30" spans="1:7" x14ac:dyDescent="0.3">
      <c r="A30" s="1"/>
    </row>
    <row r="31" spans="1:7" x14ac:dyDescent="0.3">
      <c r="A31" s="1"/>
    </row>
    <row r="32" spans="1:7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C21C57-10EE-4753-A7A6-99F6D743474D}">
          <x14:formula1>
            <xm:f>AUXILIAR!$G$2:$G$5</xm:f>
          </x14:formula1>
          <xm:sqref>D10:D28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8704-F689-40B5-824E-C1CBB2A64EBF}">
  <sheetPr codeName="Planilha5">
    <pageSetUpPr autoPageBreaks="0"/>
  </sheetPr>
  <dimension ref="A1:E55"/>
  <sheetViews>
    <sheetView showGridLines="0" showRowColHeaders="0" showRuler="0" zoomScaleNormal="100" workbookViewId="0">
      <selection activeCell="A33" sqref="A33:A55"/>
    </sheetView>
  </sheetViews>
  <sheetFormatPr defaultRowHeight="14.4" x14ac:dyDescent="0.3"/>
  <cols>
    <col min="1" max="1" width="28.6640625" style="7" customWidth="1"/>
    <col min="2" max="2" width="8.88671875" style="7"/>
    <col min="3" max="4" width="25.77734375" style="7" customWidth="1"/>
    <col min="5" max="5" width="30.33203125" style="7" bestFit="1" customWidth="1"/>
    <col min="6" max="6" width="6.77734375" style="7" bestFit="1" customWidth="1"/>
    <col min="7" max="16384" width="8.88671875" style="7"/>
  </cols>
  <sheetData>
    <row r="1" spans="1:5" x14ac:dyDescent="0.3">
      <c r="A1" s="1"/>
    </row>
    <row r="2" spans="1:5" x14ac:dyDescent="0.3">
      <c r="A2" s="1"/>
    </row>
    <row r="3" spans="1:5" ht="18.600000000000001" thickBot="1" x14ac:dyDescent="0.4">
      <c r="A3" s="1"/>
      <c r="C3" s="5" t="s">
        <v>139</v>
      </c>
      <c r="D3" s="5"/>
      <c r="E3" s="5"/>
    </row>
    <row r="4" spans="1:5" ht="15" thickTop="1" x14ac:dyDescent="0.3">
      <c r="A4" s="1"/>
      <c r="C4" s="6" t="s">
        <v>140</v>
      </c>
      <c r="D4" s="4"/>
      <c r="E4" s="4"/>
    </row>
    <row r="5" spans="1:5" x14ac:dyDescent="0.3">
      <c r="A5" s="1"/>
    </row>
    <row r="6" spans="1:5" x14ac:dyDescent="0.3">
      <c r="A6" s="2"/>
    </row>
    <row r="7" spans="1:5" x14ac:dyDescent="0.3">
      <c r="A7" s="2"/>
    </row>
    <row r="8" spans="1:5" x14ac:dyDescent="0.3">
      <c r="A8" s="2"/>
    </row>
    <row r="9" spans="1:5" x14ac:dyDescent="0.3">
      <c r="A9" s="1"/>
      <c r="C9" s="32" t="s">
        <v>124</v>
      </c>
      <c r="D9" s="32" t="s">
        <v>125</v>
      </c>
      <c r="E9" s="32" t="s">
        <v>126</v>
      </c>
    </row>
    <row r="10" spans="1:5" x14ac:dyDescent="0.3">
      <c r="A10" s="1"/>
      <c r="C10" s="27"/>
      <c r="D10" s="27"/>
      <c r="E10" s="27"/>
    </row>
    <row r="11" spans="1:5" x14ac:dyDescent="0.3">
      <c r="A11" s="1"/>
      <c r="C11" s="33" t="s">
        <v>127</v>
      </c>
      <c r="D11" s="34">
        <f>ENTRADAS!E6</f>
        <v>9000</v>
      </c>
      <c r="E11" s="35" t="s">
        <v>131</v>
      </c>
    </row>
    <row r="12" spans="1:5" x14ac:dyDescent="0.3">
      <c r="A12" s="1"/>
      <c r="C12" s="36" t="s">
        <v>128</v>
      </c>
      <c r="D12" s="37">
        <f>ENTRADAS!E7</f>
        <v>6540</v>
      </c>
      <c r="E12" s="38" t="s">
        <v>132</v>
      </c>
    </row>
    <row r="13" spans="1:5" x14ac:dyDescent="0.3">
      <c r="A13" s="1"/>
      <c r="C13" s="36" t="s">
        <v>129</v>
      </c>
      <c r="D13" s="37">
        <f>DEDUÇÕES!E6</f>
        <v>1200</v>
      </c>
      <c r="E13" s="38" t="s">
        <v>133</v>
      </c>
    </row>
    <row r="14" spans="1:5" x14ac:dyDescent="0.3">
      <c r="A14" s="1"/>
      <c r="C14" s="36" t="s">
        <v>130</v>
      </c>
      <c r="D14" s="37">
        <f>INFORMES!D6</f>
        <v>384123</v>
      </c>
      <c r="E14" s="38" t="s">
        <v>134</v>
      </c>
    </row>
    <row r="15" spans="1:5" x14ac:dyDescent="0.3">
      <c r="A15" s="1"/>
      <c r="C15" s="26"/>
      <c r="D15" s="26"/>
      <c r="E15" s="26"/>
    </row>
    <row r="16" spans="1:5" x14ac:dyDescent="0.3">
      <c r="A16" s="1"/>
      <c r="C16" s="16"/>
      <c r="D16" s="15"/>
      <c r="E16" s="25"/>
    </row>
    <row r="17" spans="1:5" x14ac:dyDescent="0.3">
      <c r="A17" s="1"/>
      <c r="C17" s="16"/>
      <c r="D17" s="15"/>
      <c r="E17" s="25"/>
    </row>
    <row r="18" spans="1:5" x14ac:dyDescent="0.3">
      <c r="A18" s="1"/>
      <c r="C18" s="16"/>
      <c r="D18" s="15"/>
      <c r="E18" s="25"/>
    </row>
    <row r="19" spans="1:5" x14ac:dyDescent="0.3">
      <c r="A19" s="1"/>
      <c r="C19" s="16"/>
      <c r="D19" s="15"/>
      <c r="E19" s="25"/>
    </row>
    <row r="20" spans="1:5" x14ac:dyDescent="0.3">
      <c r="A20" s="1"/>
      <c r="C20" s="16"/>
      <c r="D20" s="15"/>
      <c r="E20" s="25"/>
    </row>
    <row r="21" spans="1:5" x14ac:dyDescent="0.3">
      <c r="A21" s="1"/>
      <c r="C21" s="16"/>
      <c r="D21" s="15"/>
      <c r="E21" s="25"/>
    </row>
    <row r="22" spans="1:5" x14ac:dyDescent="0.3">
      <c r="A22" s="1"/>
      <c r="C22" s="16"/>
      <c r="D22" s="15"/>
      <c r="E22" s="25"/>
    </row>
    <row r="23" spans="1:5" x14ac:dyDescent="0.3">
      <c r="A23" s="1"/>
      <c r="C23" s="16"/>
      <c r="D23" s="15"/>
      <c r="E23" s="25"/>
    </row>
    <row r="24" spans="1:5" x14ac:dyDescent="0.3">
      <c r="A24" s="1"/>
      <c r="C24" s="16"/>
      <c r="D24" s="15"/>
      <c r="E24" s="25"/>
    </row>
    <row r="25" spans="1:5" x14ac:dyDescent="0.3">
      <c r="A25" s="1"/>
      <c r="C25" s="16"/>
      <c r="D25" s="15"/>
      <c r="E25" s="25"/>
    </row>
    <row r="26" spans="1:5" x14ac:dyDescent="0.3">
      <c r="A26" s="1"/>
      <c r="C26" s="16"/>
      <c r="D26" s="15"/>
      <c r="E26" s="25"/>
    </row>
    <row r="27" spans="1:5" x14ac:dyDescent="0.3">
      <c r="A27" s="1"/>
    </row>
    <row r="28" spans="1:5" x14ac:dyDescent="0.3">
      <c r="A28" s="1"/>
    </row>
    <row r="29" spans="1:5" x14ac:dyDescent="0.3">
      <c r="A29" s="1"/>
    </row>
    <row r="30" spans="1:5" x14ac:dyDescent="0.3">
      <c r="A30" s="1"/>
    </row>
    <row r="31" spans="1:5" x14ac:dyDescent="0.3">
      <c r="A31" s="1"/>
    </row>
    <row r="32" spans="1:5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1653-39DC-4BE4-A3D0-79E8F971512A}">
  <sheetPr codeName="Planilha6"/>
  <dimension ref="A1:G51"/>
  <sheetViews>
    <sheetView workbookViewId="0">
      <selection activeCell="E22" sqref="E22"/>
    </sheetView>
  </sheetViews>
  <sheetFormatPr defaultRowHeight="14.4" x14ac:dyDescent="0.3"/>
  <cols>
    <col min="1" max="1" width="34.88671875" bestFit="1" customWidth="1"/>
    <col min="2" max="2" width="13.33203125" customWidth="1"/>
    <col min="3" max="3" width="50.6640625" bestFit="1" customWidth="1"/>
    <col min="5" max="5" width="36.21875" customWidth="1"/>
    <col min="7" max="7" width="26.44140625" customWidth="1"/>
  </cols>
  <sheetData>
    <row r="1" spans="1:7" x14ac:dyDescent="0.3">
      <c r="A1" s="8" t="s">
        <v>75</v>
      </c>
      <c r="C1" s="20" t="s">
        <v>90</v>
      </c>
      <c r="E1" s="21" t="s">
        <v>112</v>
      </c>
      <c r="G1" s="21" t="s">
        <v>113</v>
      </c>
    </row>
    <row r="2" spans="1:7" x14ac:dyDescent="0.3">
      <c r="A2" s="7" t="s">
        <v>25</v>
      </c>
      <c r="C2" s="23" t="s">
        <v>91</v>
      </c>
      <c r="E2" s="22" t="s">
        <v>109</v>
      </c>
      <c r="G2" t="s">
        <v>114</v>
      </c>
    </row>
    <row r="3" spans="1:7" x14ac:dyDescent="0.3">
      <c r="A3" s="7" t="s">
        <v>26</v>
      </c>
      <c r="C3" s="23" t="s">
        <v>92</v>
      </c>
      <c r="E3" s="22" t="s">
        <v>106</v>
      </c>
      <c r="G3" t="s">
        <v>115</v>
      </c>
    </row>
    <row r="4" spans="1:7" x14ac:dyDescent="0.3">
      <c r="A4" s="7" t="s">
        <v>27</v>
      </c>
      <c r="C4" s="24" t="s">
        <v>93</v>
      </c>
      <c r="E4" s="22" t="s">
        <v>107</v>
      </c>
      <c r="G4" t="s">
        <v>116</v>
      </c>
    </row>
    <row r="5" spans="1:7" x14ac:dyDescent="0.3">
      <c r="A5" s="7" t="s">
        <v>28</v>
      </c>
      <c r="C5" s="23" t="s">
        <v>94</v>
      </c>
      <c r="E5" s="22" t="s">
        <v>135</v>
      </c>
      <c r="G5" t="s">
        <v>117</v>
      </c>
    </row>
    <row r="6" spans="1:7" ht="28.8" x14ac:dyDescent="0.3">
      <c r="A6" s="7" t="s">
        <v>29</v>
      </c>
      <c r="C6" s="23" t="s">
        <v>95</v>
      </c>
      <c r="E6" s="22" t="s">
        <v>136</v>
      </c>
    </row>
    <row r="7" spans="1:7" x14ac:dyDescent="0.3">
      <c r="A7" s="7" t="s">
        <v>30</v>
      </c>
      <c r="C7" s="24" t="s">
        <v>96</v>
      </c>
      <c r="E7" s="22" t="s">
        <v>108</v>
      </c>
    </row>
    <row r="8" spans="1:7" x14ac:dyDescent="0.3">
      <c r="A8" s="7" t="s">
        <v>31</v>
      </c>
      <c r="C8" s="23" t="s">
        <v>97</v>
      </c>
    </row>
    <row r="9" spans="1:7" x14ac:dyDescent="0.3">
      <c r="A9" s="7" t="s">
        <v>32</v>
      </c>
      <c r="C9" s="23" t="s">
        <v>98</v>
      </c>
    </row>
    <row r="10" spans="1:7" x14ac:dyDescent="0.3">
      <c r="A10" s="7" t="s">
        <v>33</v>
      </c>
      <c r="C10" s="23" t="s">
        <v>99</v>
      </c>
    </row>
    <row r="11" spans="1:7" x14ac:dyDescent="0.3">
      <c r="A11" s="7" t="s">
        <v>34</v>
      </c>
      <c r="C11" s="23" t="s">
        <v>100</v>
      </c>
    </row>
    <row r="12" spans="1:7" ht="28.8" x14ac:dyDescent="0.3">
      <c r="A12" s="7" t="s">
        <v>35</v>
      </c>
      <c r="C12" s="23" t="s">
        <v>101</v>
      </c>
    </row>
    <row r="13" spans="1:7" x14ac:dyDescent="0.3">
      <c r="A13" s="7" t="s">
        <v>36</v>
      </c>
      <c r="C13" s="23" t="s">
        <v>102</v>
      </c>
    </row>
    <row r="14" spans="1:7" x14ac:dyDescent="0.3">
      <c r="A14" s="7" t="s">
        <v>37</v>
      </c>
      <c r="C14" s="23" t="s">
        <v>103</v>
      </c>
    </row>
    <row r="15" spans="1:7" x14ac:dyDescent="0.3">
      <c r="A15" s="7" t="s">
        <v>38</v>
      </c>
    </row>
    <row r="16" spans="1:7" x14ac:dyDescent="0.3">
      <c r="A16" s="7" t="s">
        <v>39</v>
      </c>
    </row>
    <row r="17" spans="1:1" x14ac:dyDescent="0.3">
      <c r="A17" s="7" t="s">
        <v>40</v>
      </c>
    </row>
    <row r="18" spans="1:1" x14ac:dyDescent="0.3">
      <c r="A18" s="7" t="s">
        <v>41</v>
      </c>
    </row>
    <row r="19" spans="1:1" x14ac:dyDescent="0.3">
      <c r="A19" s="7" t="s">
        <v>42</v>
      </c>
    </row>
    <row r="20" spans="1:1" x14ac:dyDescent="0.3">
      <c r="A20" s="7" t="s">
        <v>43</v>
      </c>
    </row>
    <row r="21" spans="1:1" x14ac:dyDescent="0.3">
      <c r="A21" s="7" t="s">
        <v>44</v>
      </c>
    </row>
    <row r="22" spans="1:1" x14ac:dyDescent="0.3">
      <c r="A22" s="7" t="s">
        <v>45</v>
      </c>
    </row>
    <row r="23" spans="1:1" x14ac:dyDescent="0.3">
      <c r="A23" s="7" t="s">
        <v>46</v>
      </c>
    </row>
    <row r="24" spans="1:1" x14ac:dyDescent="0.3">
      <c r="A24" s="7" t="s">
        <v>47</v>
      </c>
    </row>
    <row r="25" spans="1:1" x14ac:dyDescent="0.3">
      <c r="A25" s="7" t="s">
        <v>48</v>
      </c>
    </row>
    <row r="26" spans="1:1" x14ac:dyDescent="0.3">
      <c r="A26" s="7" t="s">
        <v>49</v>
      </c>
    </row>
    <row r="27" spans="1:1" x14ac:dyDescent="0.3">
      <c r="A27" s="7" t="s">
        <v>50</v>
      </c>
    </row>
    <row r="28" spans="1:1" x14ac:dyDescent="0.3">
      <c r="A28" s="7" t="s">
        <v>51</v>
      </c>
    </row>
    <row r="29" spans="1:1" x14ac:dyDescent="0.3">
      <c r="A29" s="7" t="s">
        <v>52</v>
      </c>
    </row>
    <row r="30" spans="1:1" x14ac:dyDescent="0.3">
      <c r="A30" s="7" t="s">
        <v>53</v>
      </c>
    </row>
    <row r="31" spans="1:1" x14ac:dyDescent="0.3">
      <c r="A31" s="7" t="s">
        <v>54</v>
      </c>
    </row>
    <row r="32" spans="1:1" x14ac:dyDescent="0.3">
      <c r="A32" s="7" t="s">
        <v>55</v>
      </c>
    </row>
    <row r="33" spans="1:1" x14ac:dyDescent="0.3">
      <c r="A33" s="7" t="s">
        <v>56</v>
      </c>
    </row>
    <row r="34" spans="1:1" x14ac:dyDescent="0.3">
      <c r="A34" s="7" t="s">
        <v>57</v>
      </c>
    </row>
    <row r="35" spans="1:1" x14ac:dyDescent="0.3">
      <c r="A35" s="7" t="s">
        <v>58</v>
      </c>
    </row>
    <row r="36" spans="1:1" x14ac:dyDescent="0.3">
      <c r="A36" s="7" t="s">
        <v>59</v>
      </c>
    </row>
    <row r="37" spans="1:1" x14ac:dyDescent="0.3">
      <c r="A37" s="7" t="s">
        <v>60</v>
      </c>
    </row>
    <row r="38" spans="1:1" x14ac:dyDescent="0.3">
      <c r="A38" s="7" t="s">
        <v>61</v>
      </c>
    </row>
    <row r="39" spans="1:1" x14ac:dyDescent="0.3">
      <c r="A39" s="7" t="s">
        <v>62</v>
      </c>
    </row>
    <row r="40" spans="1:1" x14ac:dyDescent="0.3">
      <c r="A40" s="7" t="s">
        <v>63</v>
      </c>
    </row>
    <row r="41" spans="1:1" x14ac:dyDescent="0.3">
      <c r="A41" s="7" t="s">
        <v>64</v>
      </c>
    </row>
    <row r="42" spans="1:1" x14ac:dyDescent="0.3">
      <c r="A42" s="7" t="s">
        <v>65</v>
      </c>
    </row>
    <row r="43" spans="1:1" x14ac:dyDescent="0.3">
      <c r="A43" s="7" t="s">
        <v>66</v>
      </c>
    </row>
    <row r="44" spans="1:1" x14ac:dyDescent="0.3">
      <c r="A44" s="7" t="s">
        <v>67</v>
      </c>
    </row>
    <row r="45" spans="1:1" x14ac:dyDescent="0.3">
      <c r="A45" s="7" t="s">
        <v>68</v>
      </c>
    </row>
    <row r="46" spans="1:1" x14ac:dyDescent="0.3">
      <c r="A46" s="7" t="s">
        <v>69</v>
      </c>
    </row>
    <row r="47" spans="1:1" x14ac:dyDescent="0.3">
      <c r="A47" s="7" t="s">
        <v>70</v>
      </c>
    </row>
    <row r="48" spans="1:1" x14ac:dyDescent="0.3">
      <c r="A48" s="7" t="s">
        <v>71</v>
      </c>
    </row>
    <row r="49" spans="1:1" x14ac:dyDescent="0.3">
      <c r="A49" s="7" t="s">
        <v>72</v>
      </c>
    </row>
    <row r="50" spans="1:1" x14ac:dyDescent="0.3">
      <c r="A50" s="7" t="s">
        <v>73</v>
      </c>
    </row>
    <row r="51" spans="1:1" x14ac:dyDescent="0.3">
      <c r="A51" s="7" t="s">
        <v>74</v>
      </c>
    </row>
  </sheetData>
  <sortState xmlns:xlrd2="http://schemas.microsoft.com/office/spreadsheetml/2017/richdata2" ref="A2:A52">
    <sortCondition ref="A1:A5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TITULAR</vt:lpstr>
      <vt:lpstr>INFORMES</vt:lpstr>
      <vt:lpstr>ENTRADAS</vt:lpstr>
      <vt:lpstr>DEDUÇÕES</vt:lpstr>
      <vt:lpstr>RESUMO FINAL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Forte</dc:creator>
  <cp:lastModifiedBy>Wanderson Forte</cp:lastModifiedBy>
  <dcterms:created xsi:type="dcterms:W3CDTF">2026-01-12T22:15:08Z</dcterms:created>
  <dcterms:modified xsi:type="dcterms:W3CDTF">2026-01-16T11:04:46Z</dcterms:modified>
</cp:coreProperties>
</file>